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thodology &amp; Justification" sheetId="1" state="visible" r:id="rId1"/>
    <sheet name="Raw Daily Price Data" sheetId="2" state="visible" r:id="rId2"/>
    <sheet name="Online CPI Computation"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Industry Choice: Fast-Moving Consumer Goods (FMCG) via Quick Commerce.</t>
        </is>
      </c>
    </row>
    <row r="2">
      <c r="A2" t="inlineStr"/>
    </row>
    <row r="3">
      <c r="A3" t="inlineStr">
        <is>
          <t>Justification: Highly standardized SKUs allowing for true apples-to-apples comparison, high-frequency algorithmic pricing updates, and high relevance to real-world household expenditure inflation.</t>
        </is>
      </c>
    </row>
    <row r="4">
      <c r="A4" t="inlineStr"/>
    </row>
    <row r="5">
      <c r="A5" t="inlineStr">
        <is>
          <t>Fields Scraped: Timestamp, SKU ID, Active Listed Pack Size, Current Selling Price, and Availability Status. MRP is omitted as continuous promotions make transaction price the true market clearer.</t>
        </is>
      </c>
    </row>
    <row r="6">
      <c r="A6" t="inlineStr"/>
    </row>
    <row r="7">
      <c r="A7" t="inlineStr">
        <is>
          <t>Handling Stockouts: Implemented a Carry-Forward imputation model. If an item is out of stock (e.g., Eggs on Day 4), the script carries forward the last observed normalized price from the prior day to maintain index continuity.</t>
        </is>
      </c>
    </row>
    <row r="8">
      <c r="A8" t="inlineStr"/>
    </row>
    <row r="9">
      <c r="A9" t="inlineStr">
        <is>
          <t>Handling Shrinkflation: Developed a pre-averaging mathematical normalization engine. The scraper extracts the active pack size from the page DOM and normalizes the selling price to a base unit (Price per 100g or Price per 1 unit) before averaging, ensuring the index tracks pure inflation, not packaging changes.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sheetData>
    <row r="1">
      <c r="A1" t="inlineStr">
        <is>
          <t>Date</t>
        </is>
      </c>
      <c r="B1" t="inlineStr">
        <is>
          <t>Category</t>
        </is>
      </c>
      <c r="C1" t="inlineStr">
        <is>
          <t>Item_ID</t>
        </is>
      </c>
      <c r="D1" t="inlineStr">
        <is>
          <t>Weight_Percentage</t>
        </is>
      </c>
      <c r="E1" t="inlineStr">
        <is>
          <t>Target_Weight</t>
        </is>
      </c>
      <c r="F1" t="inlineStr">
        <is>
          <t>Daily_Market_Normalized_Price</t>
        </is>
      </c>
      <c r="G1" t="inlineStr">
        <is>
          <t>Method</t>
        </is>
      </c>
      <c r="H1" t="inlineStr">
        <is>
          <t>Base Price</t>
        </is>
      </c>
      <c r="I1" t="inlineStr">
        <is>
          <t>Price Relative</t>
        </is>
      </c>
    </row>
    <row r="2">
      <c r="A2" t="inlineStr">
        <is>
          <t>2026-03-27</t>
        </is>
      </c>
      <c r="B2" t="inlineStr">
        <is>
          <t>Dairy</t>
        </is>
      </c>
      <c r="C2" t="inlineStr">
        <is>
          <t>Dairy_TonedMilk_1L</t>
        </is>
      </c>
      <c r="D2" t="n">
        <v>5</v>
      </c>
      <c r="E2" t="n">
        <v>1000</v>
      </c>
      <c r="F2" t="n">
        <v>7.5</v>
      </c>
      <c r="G2" t="inlineStr">
        <is>
          <t>Scraped</t>
        </is>
      </c>
      <c r="H2">
        <f>XLOOKUP(C2, $C$2:$C$21, $F$2:$F$21)</f>
        <v/>
      </c>
      <c r="I2">
        <f>(F2/H2)*100</f>
        <v/>
      </c>
    </row>
    <row r="3">
      <c r="A3" t="inlineStr">
        <is>
          <t>2026-03-27</t>
        </is>
      </c>
      <c r="B3" t="inlineStr">
        <is>
          <t>Dairy</t>
        </is>
      </c>
      <c r="C3" t="inlineStr">
        <is>
          <t>Dairy_Butter_500g</t>
        </is>
      </c>
      <c r="D3" t="n">
        <v>5</v>
      </c>
      <c r="E3" t="n">
        <v>500</v>
      </c>
      <c r="F3" t="n">
        <v>57</v>
      </c>
      <c r="G3" t="inlineStr">
        <is>
          <t>Scraped</t>
        </is>
      </c>
      <c r="H3">
        <f>XLOOKUP(C3, $C$2:$C$21, $F$2:$F$21)</f>
        <v/>
      </c>
      <c r="I3">
        <f>(F3/H3)*100</f>
        <v/>
      </c>
    </row>
    <row r="4">
      <c r="A4" t="inlineStr">
        <is>
          <t>2026-03-27</t>
        </is>
      </c>
      <c r="B4" t="inlineStr">
        <is>
          <t>Dairy</t>
        </is>
      </c>
      <c r="C4" t="inlineStr">
        <is>
          <t>Dairy_Eggs_6pk</t>
        </is>
      </c>
      <c r="D4" t="n">
        <v>5</v>
      </c>
      <c r="E4" t="n">
        <v>6</v>
      </c>
      <c r="F4" t="n">
        <v>11.4</v>
      </c>
      <c r="G4" t="inlineStr">
        <is>
          <t>Scraped</t>
        </is>
      </c>
      <c r="H4">
        <f>XLOOKUP(C4, $C$2:$C$21, $F$2:$F$21)</f>
        <v/>
      </c>
      <c r="I4">
        <f>(F4/H4)*100</f>
        <v/>
      </c>
    </row>
    <row r="5">
      <c r="A5" t="inlineStr">
        <is>
          <t>2026-03-27</t>
        </is>
      </c>
      <c r="B5" t="inlineStr">
        <is>
          <t>Dairy</t>
        </is>
      </c>
      <c r="C5" t="inlineStr">
        <is>
          <t>Dairy_Paneer_200g</t>
        </is>
      </c>
      <c r="D5" t="n">
        <v>5</v>
      </c>
      <c r="E5" t="n">
        <v>200</v>
      </c>
      <c r="F5" t="n">
        <v>44.5</v>
      </c>
      <c r="G5" t="inlineStr">
        <is>
          <t>Scraped</t>
        </is>
      </c>
      <c r="H5">
        <f>XLOOKUP(C5, $C$2:$C$21, $F$2:$F$21)</f>
        <v/>
      </c>
      <c r="I5">
        <f>(F5/H5)*100</f>
        <v/>
      </c>
    </row>
    <row r="6">
      <c r="A6" t="inlineStr">
        <is>
          <t>2026-03-27</t>
        </is>
      </c>
      <c r="B6" t="inlineStr">
        <is>
          <t>Household</t>
        </is>
      </c>
      <c r="C6" t="inlineStr">
        <is>
          <t>Household_Soap_5x125g</t>
        </is>
      </c>
      <c r="D6" t="n">
        <v>3.33</v>
      </c>
      <c r="E6" t="n">
        <v>625</v>
      </c>
      <c r="F6" t="n">
        <v>54.4</v>
      </c>
      <c r="G6" t="inlineStr">
        <is>
          <t>Scraped</t>
        </is>
      </c>
      <c r="H6">
        <f>XLOOKUP(C6, $C$2:$C$21, $F$2:$F$21)</f>
        <v/>
      </c>
      <c r="I6">
        <f>(F6/H6)*100</f>
        <v/>
      </c>
    </row>
    <row r="7">
      <c r="A7" t="inlineStr">
        <is>
          <t>2026-03-27</t>
        </is>
      </c>
      <c r="B7" t="inlineStr">
        <is>
          <t>Household</t>
        </is>
      </c>
      <c r="C7" t="inlineStr">
        <is>
          <t>Household_Toothpaste_150g</t>
        </is>
      </c>
      <c r="D7" t="n">
        <v>3.33</v>
      </c>
      <c r="E7" t="n">
        <v>150</v>
      </c>
      <c r="F7" t="n">
        <v>86.67</v>
      </c>
      <c r="G7" t="inlineStr">
        <is>
          <t>Scraped</t>
        </is>
      </c>
      <c r="H7">
        <f>XLOOKUP(C7, $C$2:$C$21, $F$2:$F$21)</f>
        <v/>
      </c>
      <c r="I7">
        <f>(F7/H7)*100</f>
        <v/>
      </c>
    </row>
    <row r="8">
      <c r="A8" t="inlineStr">
        <is>
          <t>2026-03-27</t>
        </is>
      </c>
      <c r="B8" t="inlineStr">
        <is>
          <t>Household</t>
        </is>
      </c>
      <c r="C8" t="inlineStr">
        <is>
          <t>Household_SurfExcel_1kg</t>
        </is>
      </c>
      <c r="D8" t="n">
        <v>3.34</v>
      </c>
      <c r="E8" t="n">
        <v>1000</v>
      </c>
      <c r="F8" t="n">
        <v>13.8</v>
      </c>
      <c r="G8" t="inlineStr">
        <is>
          <t>Scraped</t>
        </is>
      </c>
      <c r="H8">
        <f>XLOOKUP(C8, $C$2:$C$21, $F$2:$F$21)</f>
        <v/>
      </c>
      <c r="I8">
        <f>(F8/H8)*100</f>
        <v/>
      </c>
    </row>
    <row r="9">
      <c r="A9" t="inlineStr">
        <is>
          <t>2026-03-27</t>
        </is>
      </c>
      <c r="B9" t="inlineStr">
        <is>
          <t>Oils</t>
        </is>
      </c>
      <c r="C9" t="inlineStr">
        <is>
          <t>Oils_Sunflower_840g</t>
        </is>
      </c>
      <c r="D9" t="n">
        <v>7.5</v>
      </c>
      <c r="E9" t="n">
        <v>840</v>
      </c>
      <c r="F9" t="n">
        <v>18.57</v>
      </c>
      <c r="G9" t="inlineStr">
        <is>
          <t>Scraped</t>
        </is>
      </c>
      <c r="H9">
        <f>XLOOKUP(C9, $C$2:$C$21, $F$2:$F$21)</f>
        <v/>
      </c>
      <c r="I9">
        <f>(F9/H9)*100</f>
        <v/>
      </c>
    </row>
    <row r="10">
      <c r="A10" t="inlineStr">
        <is>
          <t>2026-03-27</t>
        </is>
      </c>
      <c r="B10" t="inlineStr">
        <is>
          <t>Oils</t>
        </is>
      </c>
      <c r="C10" t="inlineStr">
        <is>
          <t>Oils_Mustard_1L</t>
        </is>
      </c>
      <c r="D10" t="n">
        <v>7.5</v>
      </c>
      <c r="E10" t="n">
        <v>1000</v>
      </c>
      <c r="F10" t="n">
        <v>16.8</v>
      </c>
      <c r="G10" t="inlineStr">
        <is>
          <t>Scraped</t>
        </is>
      </c>
      <c r="H10">
        <f>XLOOKUP(C10, $C$2:$C$21, $F$2:$F$21)</f>
        <v/>
      </c>
      <c r="I10">
        <f>(F10/H10)*100</f>
        <v/>
      </c>
    </row>
    <row r="11">
      <c r="A11" t="inlineStr">
        <is>
          <t>2026-03-27</t>
        </is>
      </c>
      <c r="B11" t="inlineStr">
        <is>
          <t>Produce</t>
        </is>
      </c>
      <c r="C11" t="inlineStr">
        <is>
          <t>Produce_Onion_1kg</t>
        </is>
      </c>
      <c r="D11" t="n">
        <v>5</v>
      </c>
      <c r="E11" t="n">
        <v>1000</v>
      </c>
      <c r="F11" t="n">
        <v>4.1</v>
      </c>
      <c r="G11" t="inlineStr">
        <is>
          <t>Scraped</t>
        </is>
      </c>
      <c r="H11">
        <f>XLOOKUP(C11, $C$2:$C$21, $F$2:$F$21)</f>
        <v/>
      </c>
      <c r="I11">
        <f>(F11/H11)*100</f>
        <v/>
      </c>
    </row>
    <row r="12">
      <c r="A12" t="inlineStr">
        <is>
          <t>2026-03-27</t>
        </is>
      </c>
      <c r="B12" t="inlineStr">
        <is>
          <t>Produce</t>
        </is>
      </c>
      <c r="C12" t="inlineStr">
        <is>
          <t>Produce_Potato_1kg</t>
        </is>
      </c>
      <c r="D12" t="n">
        <v>5</v>
      </c>
      <c r="E12" t="n">
        <v>1000</v>
      </c>
      <c r="F12" t="n">
        <v>3.6</v>
      </c>
      <c r="G12" t="inlineStr">
        <is>
          <t>Scraped</t>
        </is>
      </c>
      <c r="H12">
        <f>XLOOKUP(C12, $C$2:$C$21, $F$2:$F$21)</f>
        <v/>
      </c>
      <c r="I12">
        <f>(F12/H12)*100</f>
        <v/>
      </c>
    </row>
    <row r="13">
      <c r="A13" t="inlineStr">
        <is>
          <t>2026-03-27</t>
        </is>
      </c>
      <c r="B13" t="inlineStr">
        <is>
          <t>Produce</t>
        </is>
      </c>
      <c r="C13" t="inlineStr">
        <is>
          <t>Produce_Tomato_1kg</t>
        </is>
      </c>
      <c r="D13" t="n">
        <v>5</v>
      </c>
      <c r="E13" t="n">
        <v>1000</v>
      </c>
      <c r="F13" t="n">
        <v>5.4</v>
      </c>
      <c r="G13" t="inlineStr">
        <is>
          <t>Scraped</t>
        </is>
      </c>
      <c r="H13">
        <f>XLOOKUP(C13, $C$2:$C$21, $F$2:$F$21)</f>
        <v/>
      </c>
      <c r="I13">
        <f>(F13/H13)*100</f>
        <v/>
      </c>
    </row>
    <row r="14">
      <c r="A14" t="inlineStr">
        <is>
          <t>2026-03-27</t>
        </is>
      </c>
      <c r="B14" t="inlineStr">
        <is>
          <t>Produce</t>
        </is>
      </c>
      <c r="C14" t="inlineStr">
        <is>
          <t>Produce_Banana_6pcs</t>
        </is>
      </c>
      <c r="D14" t="n">
        <v>5</v>
      </c>
      <c r="E14" t="n">
        <v>6</v>
      </c>
      <c r="F14" t="n">
        <v>8.33</v>
      </c>
      <c r="G14" t="inlineStr">
        <is>
          <t>Scraped</t>
        </is>
      </c>
      <c r="H14">
        <f>XLOOKUP(C14, $C$2:$C$21, $F$2:$F$21)</f>
        <v/>
      </c>
      <c r="I14">
        <f>(F14/H14)*100</f>
        <v/>
      </c>
    </row>
    <row r="15">
      <c r="A15" t="inlineStr">
        <is>
          <t>2026-03-27</t>
        </is>
      </c>
      <c r="B15" t="inlineStr">
        <is>
          <t>Snacks</t>
        </is>
      </c>
      <c r="C15" t="inlineStr">
        <is>
          <t>Snacks_Tea_250g</t>
        </is>
      </c>
      <c r="D15" t="n">
        <v>3.33</v>
      </c>
      <c r="E15" t="n">
        <v>250</v>
      </c>
      <c r="F15" t="n">
        <v>45.6</v>
      </c>
      <c r="G15" t="inlineStr">
        <is>
          <t>Scraped</t>
        </is>
      </c>
      <c r="H15">
        <f>XLOOKUP(C15, $C$2:$C$21, $F$2:$F$21)</f>
        <v/>
      </c>
      <c r="I15">
        <f>(F15/H15)*100</f>
        <v/>
      </c>
    </row>
    <row r="16">
      <c r="A16" t="inlineStr">
        <is>
          <t>2026-03-27</t>
        </is>
      </c>
      <c r="B16" t="inlineStr">
        <is>
          <t>Snacks</t>
        </is>
      </c>
      <c r="C16" t="inlineStr">
        <is>
          <t>Snacks_Coffee_50g</t>
        </is>
      </c>
      <c r="D16" t="n">
        <v>3.33</v>
      </c>
      <c r="E16" t="n">
        <v>50</v>
      </c>
      <c r="F16" t="n">
        <v>446</v>
      </c>
      <c r="G16" t="inlineStr">
        <is>
          <t>Scraped</t>
        </is>
      </c>
      <c r="H16">
        <f>XLOOKUP(C16, $C$2:$C$21, $F$2:$F$21)</f>
        <v/>
      </c>
      <c r="I16">
        <f>(F16/H16)*100</f>
        <v/>
      </c>
    </row>
    <row r="17">
      <c r="A17" t="inlineStr">
        <is>
          <t>2026-03-27</t>
        </is>
      </c>
      <c r="B17" t="inlineStr">
        <is>
          <t>Snacks</t>
        </is>
      </c>
      <c r="C17" t="inlineStr">
        <is>
          <t>Snacks_ParleG_250g</t>
        </is>
      </c>
      <c r="D17" t="n">
        <v>3.34</v>
      </c>
      <c r="E17" t="n">
        <v>250</v>
      </c>
      <c r="F17" t="n">
        <v>10.8</v>
      </c>
      <c r="G17" t="inlineStr">
        <is>
          <t>Scraped</t>
        </is>
      </c>
      <c r="H17">
        <f>XLOOKUP(C17, $C$2:$C$21, $F$2:$F$21)</f>
        <v/>
      </c>
      <c r="I17">
        <f>(F17/H17)*100</f>
        <v/>
      </c>
    </row>
    <row r="18">
      <c r="A18" t="inlineStr">
        <is>
          <t>2026-03-27</t>
        </is>
      </c>
      <c r="B18" t="inlineStr">
        <is>
          <t>Staples</t>
        </is>
      </c>
      <c r="C18" t="inlineStr">
        <is>
          <t>Staples_Atta_5kg</t>
        </is>
      </c>
      <c r="D18" t="n">
        <v>6.25</v>
      </c>
      <c r="E18" t="n">
        <v>5000</v>
      </c>
      <c r="F18" t="n">
        <v>6.12</v>
      </c>
      <c r="G18" t="inlineStr">
        <is>
          <t>Scraped</t>
        </is>
      </c>
      <c r="H18">
        <f>XLOOKUP(C18, $C$2:$C$21, $F$2:$F$21)</f>
        <v/>
      </c>
      <c r="I18">
        <f>(F18/H18)*100</f>
        <v/>
      </c>
    </row>
    <row r="19">
      <c r="A19" t="inlineStr">
        <is>
          <t>2026-03-27</t>
        </is>
      </c>
      <c r="B19" t="inlineStr">
        <is>
          <t>Staples</t>
        </is>
      </c>
      <c r="C19" t="inlineStr">
        <is>
          <t>Staples_Basmati_1kg</t>
        </is>
      </c>
      <c r="D19" t="n">
        <v>6.25</v>
      </c>
      <c r="E19" t="n">
        <v>1000</v>
      </c>
      <c r="F19" t="n">
        <v>9.5</v>
      </c>
      <c r="G19" t="inlineStr">
        <is>
          <t>Scraped</t>
        </is>
      </c>
      <c r="H19">
        <f>XLOOKUP(C19, $C$2:$C$21, $F$2:$F$21)</f>
        <v/>
      </c>
      <c r="I19">
        <f>(F19/H19)*100</f>
        <v/>
      </c>
    </row>
    <row r="20">
      <c r="A20" t="inlineStr">
        <is>
          <t>2026-03-27</t>
        </is>
      </c>
      <c r="B20" t="inlineStr">
        <is>
          <t>Staples</t>
        </is>
      </c>
      <c r="C20" t="inlineStr">
        <is>
          <t>Staples_ToorDal_500g</t>
        </is>
      </c>
      <c r="D20" t="n">
        <v>6.25</v>
      </c>
      <c r="E20" t="n">
        <v>500</v>
      </c>
      <c r="F20" t="n">
        <v>17.4</v>
      </c>
      <c r="G20" t="inlineStr">
        <is>
          <t>Scraped</t>
        </is>
      </c>
      <c r="H20">
        <f>XLOOKUP(C20, $C$2:$C$21, $F$2:$F$21)</f>
        <v/>
      </c>
      <c r="I20">
        <f>(F20/H20)*100</f>
        <v/>
      </c>
    </row>
    <row r="21">
      <c r="A21" t="inlineStr">
        <is>
          <t>2026-03-27</t>
        </is>
      </c>
      <c r="B21" t="inlineStr">
        <is>
          <t>Staples</t>
        </is>
      </c>
      <c r="C21" t="inlineStr">
        <is>
          <t>Staples_Sugar_1kg</t>
        </is>
      </c>
      <c r="D21" t="n">
        <v>6.25</v>
      </c>
      <c r="E21" t="n">
        <v>1000</v>
      </c>
      <c r="F21" t="n">
        <v>6</v>
      </c>
      <c r="G21" t="inlineStr">
        <is>
          <t>Scraped</t>
        </is>
      </c>
      <c r="H21">
        <f>XLOOKUP(C21, $C$2:$C$21, $F$2:$F$21)</f>
        <v/>
      </c>
      <c r="I21">
        <f>(F21/H21)*100</f>
        <v/>
      </c>
    </row>
    <row r="22">
      <c r="A22" t="inlineStr">
        <is>
          <t>2026-03-28</t>
        </is>
      </c>
      <c r="B22" t="inlineStr">
        <is>
          <t>Dairy</t>
        </is>
      </c>
      <c r="C22" t="inlineStr">
        <is>
          <t>Dairy_TonedMilk_1L</t>
        </is>
      </c>
      <c r="D22" t="n">
        <v>5</v>
      </c>
      <c r="E22" t="n">
        <v>1000</v>
      </c>
      <c r="F22" t="n">
        <v>7.5</v>
      </c>
      <c r="G22" t="inlineStr">
        <is>
          <t>Scraped</t>
        </is>
      </c>
      <c r="H22">
        <f>XLOOKUP(C22, $C$2:$C$21, $F$2:$F$21)</f>
        <v/>
      </c>
      <c r="I22">
        <f>(F22/H22)*100</f>
        <v/>
      </c>
    </row>
    <row r="23">
      <c r="A23" t="inlineStr">
        <is>
          <t>2026-03-28</t>
        </is>
      </c>
      <c r="B23" t="inlineStr">
        <is>
          <t>Dairy</t>
        </is>
      </c>
      <c r="C23" t="inlineStr">
        <is>
          <t>Dairy_Butter_500g</t>
        </is>
      </c>
      <c r="D23" t="n">
        <v>5</v>
      </c>
      <c r="E23" t="n">
        <v>500</v>
      </c>
      <c r="F23" t="n">
        <v>57</v>
      </c>
      <c r="G23" t="inlineStr">
        <is>
          <t>Scraped</t>
        </is>
      </c>
      <c r="H23">
        <f>XLOOKUP(C23, $C$2:$C$21, $F$2:$F$21)</f>
        <v/>
      </c>
      <c r="I23">
        <f>(F23/H23)*100</f>
        <v/>
      </c>
    </row>
    <row r="24">
      <c r="A24" t="inlineStr">
        <is>
          <t>2026-03-28</t>
        </is>
      </c>
      <c r="B24" t="inlineStr">
        <is>
          <t>Dairy</t>
        </is>
      </c>
      <c r="C24" t="inlineStr">
        <is>
          <t>Dairy_Eggs_6pk</t>
        </is>
      </c>
      <c r="D24" t="n">
        <v>5</v>
      </c>
      <c r="E24" t="n">
        <v>6</v>
      </c>
      <c r="F24" t="n">
        <v>11.5</v>
      </c>
      <c r="G24" t="inlineStr">
        <is>
          <t>Scraped</t>
        </is>
      </c>
      <c r="H24">
        <f>XLOOKUP(C24, $C$2:$C$21, $F$2:$F$21)</f>
        <v/>
      </c>
      <c r="I24">
        <f>(F24/H24)*100</f>
        <v/>
      </c>
    </row>
    <row r="25">
      <c r="A25" t="inlineStr">
        <is>
          <t>2026-03-28</t>
        </is>
      </c>
      <c r="B25" t="inlineStr">
        <is>
          <t>Dairy</t>
        </is>
      </c>
      <c r="C25" t="inlineStr">
        <is>
          <t>Dairy_Paneer_200g</t>
        </is>
      </c>
      <c r="D25" t="n">
        <v>5</v>
      </c>
      <c r="E25" t="n">
        <v>200</v>
      </c>
      <c r="F25" t="n">
        <v>44.5</v>
      </c>
      <c r="G25" t="inlineStr">
        <is>
          <t>Scraped</t>
        </is>
      </c>
      <c r="H25">
        <f>XLOOKUP(C25, $C$2:$C$21, $F$2:$F$21)</f>
        <v/>
      </c>
      <c r="I25">
        <f>(F25/H25)*100</f>
        <v/>
      </c>
    </row>
    <row r="26">
      <c r="A26" t="inlineStr">
        <is>
          <t>2026-03-28</t>
        </is>
      </c>
      <c r="B26" t="inlineStr">
        <is>
          <t>Household</t>
        </is>
      </c>
      <c r="C26" t="inlineStr">
        <is>
          <t>Household_Soap_5x125g</t>
        </is>
      </c>
      <c r="D26" t="n">
        <v>3.33</v>
      </c>
      <c r="E26" t="n">
        <v>625</v>
      </c>
      <c r="F26" t="n">
        <v>54.4</v>
      </c>
      <c r="G26" t="inlineStr">
        <is>
          <t>Scraped</t>
        </is>
      </c>
      <c r="H26">
        <f>XLOOKUP(C26, $C$2:$C$21, $F$2:$F$21)</f>
        <v/>
      </c>
      <c r="I26">
        <f>(F26/H26)*100</f>
        <v/>
      </c>
    </row>
    <row r="27">
      <c r="A27" t="inlineStr">
        <is>
          <t>2026-03-28</t>
        </is>
      </c>
      <c r="B27" t="inlineStr">
        <is>
          <t>Household</t>
        </is>
      </c>
      <c r="C27" t="inlineStr">
        <is>
          <t>Household_Toothpaste_150g</t>
        </is>
      </c>
      <c r="D27" t="n">
        <v>3.33</v>
      </c>
      <c r="E27" t="n">
        <v>150</v>
      </c>
      <c r="F27" t="n">
        <v>86.67</v>
      </c>
      <c r="G27" t="inlineStr">
        <is>
          <t>Scraped</t>
        </is>
      </c>
      <c r="H27">
        <f>XLOOKUP(C27, $C$2:$C$21, $F$2:$F$21)</f>
        <v/>
      </c>
      <c r="I27">
        <f>(F27/H27)*100</f>
        <v/>
      </c>
    </row>
    <row r="28">
      <c r="A28" t="inlineStr">
        <is>
          <t>2026-03-28</t>
        </is>
      </c>
      <c r="B28" t="inlineStr">
        <is>
          <t>Household</t>
        </is>
      </c>
      <c r="C28" t="inlineStr">
        <is>
          <t>Household_SurfExcel_1kg</t>
        </is>
      </c>
      <c r="D28" t="n">
        <v>3.34</v>
      </c>
      <c r="E28" t="n">
        <v>1000</v>
      </c>
      <c r="F28" t="n">
        <v>13.8</v>
      </c>
      <c r="G28" t="inlineStr">
        <is>
          <t>Scraped</t>
        </is>
      </c>
      <c r="H28">
        <f>XLOOKUP(C28, $C$2:$C$21, $F$2:$F$21)</f>
        <v/>
      </c>
      <c r="I28">
        <f>(F28/H28)*100</f>
        <v/>
      </c>
    </row>
    <row r="29">
      <c r="A29" t="inlineStr">
        <is>
          <t>2026-03-28</t>
        </is>
      </c>
      <c r="B29" t="inlineStr">
        <is>
          <t>Oils</t>
        </is>
      </c>
      <c r="C29" t="inlineStr">
        <is>
          <t>Oils_Sunflower_840g</t>
        </is>
      </c>
      <c r="D29" t="n">
        <v>7.5</v>
      </c>
      <c r="E29" t="n">
        <v>840</v>
      </c>
      <c r="F29" t="n">
        <v>18.57</v>
      </c>
      <c r="G29" t="inlineStr">
        <is>
          <t>Scraped</t>
        </is>
      </c>
      <c r="H29">
        <f>XLOOKUP(C29, $C$2:$C$21, $F$2:$F$21)</f>
        <v/>
      </c>
      <c r="I29">
        <f>(F29/H29)*100</f>
        <v/>
      </c>
    </row>
    <row r="30">
      <c r="A30" t="inlineStr">
        <is>
          <t>2026-03-28</t>
        </is>
      </c>
      <c r="B30" t="inlineStr">
        <is>
          <t>Oils</t>
        </is>
      </c>
      <c r="C30" t="inlineStr">
        <is>
          <t>Oils_Mustard_1L</t>
        </is>
      </c>
      <c r="D30" t="n">
        <v>7.5</v>
      </c>
      <c r="E30" t="n">
        <v>1000</v>
      </c>
      <c r="F30" t="n">
        <v>16.8</v>
      </c>
      <c r="G30" t="inlineStr">
        <is>
          <t>Scraped</t>
        </is>
      </c>
      <c r="H30">
        <f>XLOOKUP(C30, $C$2:$C$21, $F$2:$F$21)</f>
        <v/>
      </c>
      <c r="I30">
        <f>(F30/H30)*100</f>
        <v/>
      </c>
    </row>
    <row r="31">
      <c r="A31" t="inlineStr">
        <is>
          <t>2026-03-28</t>
        </is>
      </c>
      <c r="B31" t="inlineStr">
        <is>
          <t>Produce</t>
        </is>
      </c>
      <c r="C31" t="inlineStr">
        <is>
          <t>Produce_Onion_1kg</t>
        </is>
      </c>
      <c r="D31" t="n">
        <v>5</v>
      </c>
      <c r="E31" t="n">
        <v>1000</v>
      </c>
      <c r="F31" t="n">
        <v>4.3</v>
      </c>
      <c r="G31" t="inlineStr">
        <is>
          <t>Scraped</t>
        </is>
      </c>
      <c r="H31">
        <f>XLOOKUP(C31, $C$2:$C$21, $F$2:$F$21)</f>
        <v/>
      </c>
      <c r="I31">
        <f>(F31/H31)*100</f>
        <v/>
      </c>
    </row>
    <row r="32">
      <c r="A32" t="inlineStr">
        <is>
          <t>2026-03-28</t>
        </is>
      </c>
      <c r="B32" t="inlineStr">
        <is>
          <t>Produce</t>
        </is>
      </c>
      <c r="C32" t="inlineStr">
        <is>
          <t>Produce_Potato_1kg</t>
        </is>
      </c>
      <c r="D32" t="n">
        <v>5</v>
      </c>
      <c r="E32" t="n">
        <v>1000</v>
      </c>
      <c r="F32" t="n">
        <v>3.6</v>
      </c>
      <c r="G32" t="inlineStr">
        <is>
          <t>Scraped</t>
        </is>
      </c>
      <c r="H32">
        <f>XLOOKUP(C32, $C$2:$C$21, $F$2:$F$21)</f>
        <v/>
      </c>
      <c r="I32">
        <f>(F32/H32)*100</f>
        <v/>
      </c>
    </row>
    <row r="33">
      <c r="A33" t="inlineStr">
        <is>
          <t>2026-03-28</t>
        </is>
      </c>
      <c r="B33" t="inlineStr">
        <is>
          <t>Produce</t>
        </is>
      </c>
      <c r="C33" t="inlineStr">
        <is>
          <t>Produce_Tomato_1kg</t>
        </is>
      </c>
      <c r="D33" t="n">
        <v>5</v>
      </c>
      <c r="E33" t="n">
        <v>1000</v>
      </c>
      <c r="F33" t="n">
        <v>5.9</v>
      </c>
      <c r="G33" t="inlineStr">
        <is>
          <t>Scraped</t>
        </is>
      </c>
      <c r="H33">
        <f>XLOOKUP(C33, $C$2:$C$21, $F$2:$F$21)</f>
        <v/>
      </c>
      <c r="I33">
        <f>(F33/H33)*100</f>
        <v/>
      </c>
    </row>
    <row r="34">
      <c r="A34" t="inlineStr">
        <is>
          <t>2026-03-28</t>
        </is>
      </c>
      <c r="B34" t="inlineStr">
        <is>
          <t>Produce</t>
        </is>
      </c>
      <c r="C34" t="inlineStr">
        <is>
          <t>Produce_Banana_6pcs</t>
        </is>
      </c>
      <c r="D34" t="n">
        <v>5</v>
      </c>
      <c r="E34" t="n">
        <v>6</v>
      </c>
      <c r="F34" t="n">
        <v>8.33</v>
      </c>
      <c r="G34" t="inlineStr">
        <is>
          <t>Scraped</t>
        </is>
      </c>
      <c r="H34">
        <f>XLOOKUP(C34, $C$2:$C$21, $F$2:$F$21)</f>
        <v/>
      </c>
      <c r="I34">
        <f>(F34/H34)*100</f>
        <v/>
      </c>
    </row>
    <row r="35">
      <c r="A35" t="inlineStr">
        <is>
          <t>2026-03-28</t>
        </is>
      </c>
      <c r="B35" t="inlineStr">
        <is>
          <t>Snacks</t>
        </is>
      </c>
      <c r="C35" t="inlineStr">
        <is>
          <t>Snacks_Tea_250g</t>
        </is>
      </c>
      <c r="D35" t="n">
        <v>3.33</v>
      </c>
      <c r="E35" t="n">
        <v>250</v>
      </c>
      <c r="F35" t="n">
        <v>45.6</v>
      </c>
      <c r="G35" t="inlineStr">
        <is>
          <t>Scraped</t>
        </is>
      </c>
      <c r="H35">
        <f>XLOOKUP(C35, $C$2:$C$21, $F$2:$F$21)</f>
        <v/>
      </c>
      <c r="I35">
        <f>(F35/H35)*100</f>
        <v/>
      </c>
    </row>
    <row r="36">
      <c r="A36" t="inlineStr">
        <is>
          <t>2026-03-28</t>
        </is>
      </c>
      <c r="B36" t="inlineStr">
        <is>
          <t>Snacks</t>
        </is>
      </c>
      <c r="C36" t="inlineStr">
        <is>
          <t>Snacks_Coffee_50g</t>
        </is>
      </c>
      <c r="D36" t="n">
        <v>3.33</v>
      </c>
      <c r="E36" t="n">
        <v>50</v>
      </c>
      <c r="F36" t="n">
        <v>446</v>
      </c>
      <c r="G36" t="inlineStr">
        <is>
          <t>Scraped</t>
        </is>
      </c>
      <c r="H36">
        <f>XLOOKUP(C36, $C$2:$C$21, $F$2:$F$21)</f>
        <v/>
      </c>
      <c r="I36">
        <f>(F36/H36)*100</f>
        <v/>
      </c>
    </row>
    <row r="37">
      <c r="A37" t="inlineStr">
        <is>
          <t>2026-03-28</t>
        </is>
      </c>
      <c r="B37" t="inlineStr">
        <is>
          <t>Snacks</t>
        </is>
      </c>
      <c r="C37" t="inlineStr">
        <is>
          <t>Snacks_ParleG_250g</t>
        </is>
      </c>
      <c r="D37" t="n">
        <v>3.34</v>
      </c>
      <c r="E37" t="n">
        <v>250</v>
      </c>
      <c r="F37" t="n">
        <v>10.8</v>
      </c>
      <c r="G37" t="inlineStr">
        <is>
          <t>Scraped</t>
        </is>
      </c>
      <c r="H37">
        <f>XLOOKUP(C37, $C$2:$C$21, $F$2:$F$21)</f>
        <v/>
      </c>
      <c r="I37">
        <f>(F37/H37)*100</f>
        <v/>
      </c>
    </row>
    <row r="38">
      <c r="A38" t="inlineStr">
        <is>
          <t>2026-03-28</t>
        </is>
      </c>
      <c r="B38" t="inlineStr">
        <is>
          <t>Staples</t>
        </is>
      </c>
      <c r="C38" t="inlineStr">
        <is>
          <t>Staples_Atta_5kg</t>
        </is>
      </c>
      <c r="D38" t="n">
        <v>6.25</v>
      </c>
      <c r="E38" t="n">
        <v>5000</v>
      </c>
      <c r="F38" t="n">
        <v>6.12</v>
      </c>
      <c r="G38" t="inlineStr">
        <is>
          <t>Scraped</t>
        </is>
      </c>
      <c r="H38">
        <f>XLOOKUP(C38, $C$2:$C$21, $F$2:$F$21)</f>
        <v/>
      </c>
      <c r="I38">
        <f>(F38/H38)*100</f>
        <v/>
      </c>
    </row>
    <row r="39">
      <c r="A39" t="inlineStr">
        <is>
          <t>2026-03-28</t>
        </is>
      </c>
      <c r="B39" t="inlineStr">
        <is>
          <t>Staples</t>
        </is>
      </c>
      <c r="C39" t="inlineStr">
        <is>
          <t>Staples_Basmati_1kg</t>
        </is>
      </c>
      <c r="D39" t="n">
        <v>6.25</v>
      </c>
      <c r="E39" t="n">
        <v>1000</v>
      </c>
      <c r="F39" t="n">
        <v>9.5</v>
      </c>
      <c r="G39" t="inlineStr">
        <is>
          <t>Scraped</t>
        </is>
      </c>
      <c r="H39">
        <f>XLOOKUP(C39, $C$2:$C$21, $F$2:$F$21)</f>
        <v/>
      </c>
      <c r="I39">
        <f>(F39/H39)*100</f>
        <v/>
      </c>
    </row>
    <row r="40">
      <c r="A40" t="inlineStr">
        <is>
          <t>2026-03-28</t>
        </is>
      </c>
      <c r="B40" t="inlineStr">
        <is>
          <t>Staples</t>
        </is>
      </c>
      <c r="C40" t="inlineStr">
        <is>
          <t>Staples_ToorDal_500g</t>
        </is>
      </c>
      <c r="D40" t="n">
        <v>6.25</v>
      </c>
      <c r="E40" t="n">
        <v>500</v>
      </c>
      <c r="F40" t="n">
        <v>17.4</v>
      </c>
      <c r="G40" t="inlineStr">
        <is>
          <t>Scraped</t>
        </is>
      </c>
      <c r="H40">
        <f>XLOOKUP(C40, $C$2:$C$21, $F$2:$F$21)</f>
        <v/>
      </c>
      <c r="I40">
        <f>(F40/H40)*100</f>
        <v/>
      </c>
    </row>
    <row r="41">
      <c r="A41" t="inlineStr">
        <is>
          <t>2026-03-28</t>
        </is>
      </c>
      <c r="B41" t="inlineStr">
        <is>
          <t>Staples</t>
        </is>
      </c>
      <c r="C41" t="inlineStr">
        <is>
          <t>Staples_Sugar_1kg</t>
        </is>
      </c>
      <c r="D41" t="n">
        <v>6.25</v>
      </c>
      <c r="E41" t="n">
        <v>1000</v>
      </c>
      <c r="F41" t="n">
        <v>6</v>
      </c>
      <c r="G41" t="inlineStr">
        <is>
          <t>Scraped</t>
        </is>
      </c>
      <c r="H41">
        <f>XLOOKUP(C41, $C$2:$C$21, $F$2:$F$21)</f>
        <v/>
      </c>
      <c r="I41">
        <f>(F41/H41)*100</f>
        <v/>
      </c>
    </row>
    <row r="42">
      <c r="A42" t="inlineStr">
        <is>
          <t>2026-03-29</t>
        </is>
      </c>
      <c r="B42" t="inlineStr">
        <is>
          <t>Dairy</t>
        </is>
      </c>
      <c r="C42" t="inlineStr">
        <is>
          <t>Dairy_TonedMilk_1L</t>
        </is>
      </c>
      <c r="D42" t="n">
        <v>5</v>
      </c>
      <c r="E42" t="n">
        <v>1000</v>
      </c>
      <c r="F42" t="n">
        <v>7.5</v>
      </c>
      <c r="G42" t="inlineStr">
        <is>
          <t>Scraped</t>
        </is>
      </c>
      <c r="H42">
        <f>XLOOKUP(C42, $C$2:$C$21, $F$2:$F$21)</f>
        <v/>
      </c>
      <c r="I42">
        <f>(F42/H42)*100</f>
        <v/>
      </c>
    </row>
    <row r="43">
      <c r="A43" t="inlineStr">
        <is>
          <t>2026-03-29</t>
        </is>
      </c>
      <c r="B43" t="inlineStr">
        <is>
          <t>Dairy</t>
        </is>
      </c>
      <c r="C43" t="inlineStr">
        <is>
          <t>Dairy_Butter_500g</t>
        </is>
      </c>
      <c r="D43" t="n">
        <v>5</v>
      </c>
      <c r="E43" t="n">
        <v>500</v>
      </c>
      <c r="F43" t="n">
        <v>57</v>
      </c>
      <c r="G43" t="inlineStr">
        <is>
          <t>Scraped</t>
        </is>
      </c>
      <c r="H43">
        <f>XLOOKUP(C43, $C$2:$C$21, $F$2:$F$21)</f>
        <v/>
      </c>
      <c r="I43">
        <f>(F43/H43)*100</f>
        <v/>
      </c>
    </row>
    <row r="44">
      <c r="A44" t="inlineStr">
        <is>
          <t>2026-03-29</t>
        </is>
      </c>
      <c r="B44" t="inlineStr">
        <is>
          <t>Dairy</t>
        </is>
      </c>
      <c r="C44" t="inlineStr">
        <is>
          <t>Dairy_Eggs_6pk</t>
        </is>
      </c>
      <c r="D44" t="n">
        <v>5</v>
      </c>
      <c r="E44" t="n">
        <v>6</v>
      </c>
      <c r="F44" t="n">
        <v>11.8</v>
      </c>
      <c r="G44" t="inlineStr">
        <is>
          <t>Scraped</t>
        </is>
      </c>
      <c r="H44">
        <f>XLOOKUP(C44, $C$2:$C$21, $F$2:$F$21)</f>
        <v/>
      </c>
      <c r="I44">
        <f>(F44/H44)*100</f>
        <v/>
      </c>
    </row>
    <row r="45">
      <c r="A45" t="inlineStr">
        <is>
          <t>2026-03-29</t>
        </is>
      </c>
      <c r="B45" t="inlineStr">
        <is>
          <t>Dairy</t>
        </is>
      </c>
      <c r="C45" t="inlineStr">
        <is>
          <t>Dairy_Paneer_200g</t>
        </is>
      </c>
      <c r="D45" t="n">
        <v>5</v>
      </c>
      <c r="E45" t="n">
        <v>200</v>
      </c>
      <c r="F45" t="n">
        <v>45</v>
      </c>
      <c r="G45" t="inlineStr">
        <is>
          <t>Scraped</t>
        </is>
      </c>
      <c r="H45">
        <f>XLOOKUP(C45, $C$2:$C$21, $F$2:$F$21)</f>
        <v/>
      </c>
      <c r="I45">
        <f>(F45/H45)*100</f>
        <v/>
      </c>
    </row>
    <row r="46">
      <c r="A46" t="inlineStr">
        <is>
          <t>2026-03-29</t>
        </is>
      </c>
      <c r="B46" t="inlineStr">
        <is>
          <t>Household</t>
        </is>
      </c>
      <c r="C46" t="inlineStr">
        <is>
          <t>Household_Soap_5x125g</t>
        </is>
      </c>
      <c r="D46" t="n">
        <v>3.33</v>
      </c>
      <c r="E46" t="n">
        <v>625</v>
      </c>
      <c r="F46" t="n">
        <v>54.4</v>
      </c>
      <c r="G46" t="inlineStr">
        <is>
          <t>Scraped</t>
        </is>
      </c>
      <c r="H46">
        <f>XLOOKUP(C46, $C$2:$C$21, $F$2:$F$21)</f>
        <v/>
      </c>
      <c r="I46">
        <f>(F46/H46)*100</f>
        <v/>
      </c>
    </row>
    <row r="47">
      <c r="A47" t="inlineStr">
        <is>
          <t>2026-03-29</t>
        </is>
      </c>
      <c r="B47" t="inlineStr">
        <is>
          <t>Household</t>
        </is>
      </c>
      <c r="C47" t="inlineStr">
        <is>
          <t>Household_Toothpaste_150g</t>
        </is>
      </c>
      <c r="D47" t="n">
        <v>3.33</v>
      </c>
      <c r="E47" t="n">
        <v>150</v>
      </c>
      <c r="F47" t="n">
        <v>86.67</v>
      </c>
      <c r="G47" t="inlineStr">
        <is>
          <t>Scraped</t>
        </is>
      </c>
      <c r="H47">
        <f>XLOOKUP(C47, $C$2:$C$21, $F$2:$F$21)</f>
        <v/>
      </c>
      <c r="I47">
        <f>(F47/H47)*100</f>
        <v/>
      </c>
    </row>
    <row r="48">
      <c r="A48" t="inlineStr">
        <is>
          <t>2026-03-29</t>
        </is>
      </c>
      <c r="B48" t="inlineStr">
        <is>
          <t>Household</t>
        </is>
      </c>
      <c r="C48" t="inlineStr">
        <is>
          <t>Household_SurfExcel_1kg</t>
        </is>
      </c>
      <c r="D48" t="n">
        <v>3.34</v>
      </c>
      <c r="E48" t="n">
        <v>1000</v>
      </c>
      <c r="F48" t="n">
        <v>13.8</v>
      </c>
      <c r="G48" t="inlineStr">
        <is>
          <t>Scraped</t>
        </is>
      </c>
      <c r="H48">
        <f>XLOOKUP(C48, $C$2:$C$21, $F$2:$F$21)</f>
        <v/>
      </c>
      <c r="I48">
        <f>(F48/H48)*100</f>
        <v/>
      </c>
    </row>
    <row r="49">
      <c r="A49" t="inlineStr">
        <is>
          <t>2026-03-29</t>
        </is>
      </c>
      <c r="B49" t="inlineStr">
        <is>
          <t>Oils</t>
        </is>
      </c>
      <c r="C49" t="inlineStr">
        <is>
          <t>Oils_Sunflower_840g</t>
        </is>
      </c>
      <c r="D49" t="n">
        <v>7.5</v>
      </c>
      <c r="E49" t="n">
        <v>840</v>
      </c>
      <c r="F49" t="n">
        <v>18.8</v>
      </c>
      <c r="G49" t="inlineStr">
        <is>
          <t>Scraped</t>
        </is>
      </c>
      <c r="H49">
        <f>XLOOKUP(C49, $C$2:$C$21, $F$2:$F$21)</f>
        <v/>
      </c>
      <c r="I49">
        <f>(F49/H49)*100</f>
        <v/>
      </c>
    </row>
    <row r="50">
      <c r="A50" t="inlineStr">
        <is>
          <t>2026-03-29</t>
        </is>
      </c>
      <c r="B50" t="inlineStr">
        <is>
          <t>Oils</t>
        </is>
      </c>
      <c r="C50" t="inlineStr">
        <is>
          <t>Oils_Mustard_1L</t>
        </is>
      </c>
      <c r="D50" t="n">
        <v>7.5</v>
      </c>
      <c r="E50" t="n">
        <v>1000</v>
      </c>
      <c r="F50" t="n">
        <v>16.8</v>
      </c>
      <c r="G50" t="inlineStr">
        <is>
          <t>Scraped</t>
        </is>
      </c>
      <c r="H50">
        <f>XLOOKUP(C50, $C$2:$C$21, $F$2:$F$21)</f>
        <v/>
      </c>
      <c r="I50">
        <f>(F50/H50)*100</f>
        <v/>
      </c>
    </row>
    <row r="51">
      <c r="A51" t="inlineStr">
        <is>
          <t>2026-03-29</t>
        </is>
      </c>
      <c r="B51" t="inlineStr">
        <is>
          <t>Produce</t>
        </is>
      </c>
      <c r="C51" t="inlineStr">
        <is>
          <t>Produce_Onion_1kg</t>
        </is>
      </c>
      <c r="D51" t="n">
        <v>5</v>
      </c>
      <c r="E51" t="n">
        <v>1000</v>
      </c>
      <c r="F51" t="n">
        <v>4.6</v>
      </c>
      <c r="G51" t="inlineStr">
        <is>
          <t>Scraped</t>
        </is>
      </c>
      <c r="H51">
        <f>XLOOKUP(C51, $C$2:$C$21, $F$2:$F$21)</f>
        <v/>
      </c>
      <c r="I51">
        <f>(F51/H51)*100</f>
        <v/>
      </c>
    </row>
    <row r="52">
      <c r="A52" t="inlineStr">
        <is>
          <t>2026-03-29</t>
        </is>
      </c>
      <c r="B52" t="inlineStr">
        <is>
          <t>Produce</t>
        </is>
      </c>
      <c r="C52" t="inlineStr">
        <is>
          <t>Produce_Potato_1kg</t>
        </is>
      </c>
      <c r="D52" t="n">
        <v>5</v>
      </c>
      <c r="E52" t="n">
        <v>1000</v>
      </c>
      <c r="F52" t="n">
        <v>3.8</v>
      </c>
      <c r="G52" t="inlineStr">
        <is>
          <t>Scraped</t>
        </is>
      </c>
      <c r="H52">
        <f>XLOOKUP(C52, $C$2:$C$21, $F$2:$F$21)</f>
        <v/>
      </c>
      <c r="I52">
        <f>(F52/H52)*100</f>
        <v/>
      </c>
    </row>
    <row r="53">
      <c r="A53" t="inlineStr">
        <is>
          <t>2026-03-29</t>
        </is>
      </c>
      <c r="B53" t="inlineStr">
        <is>
          <t>Produce</t>
        </is>
      </c>
      <c r="C53" t="inlineStr">
        <is>
          <t>Produce_Tomato_1kg</t>
        </is>
      </c>
      <c r="D53" t="n">
        <v>5</v>
      </c>
      <c r="E53" t="n">
        <v>1000</v>
      </c>
      <c r="F53" t="n">
        <v>6.5</v>
      </c>
      <c r="G53" t="inlineStr">
        <is>
          <t>Scraped</t>
        </is>
      </c>
      <c r="H53">
        <f>XLOOKUP(C53, $C$2:$C$21, $F$2:$F$21)</f>
        <v/>
      </c>
      <c r="I53">
        <f>(F53/H53)*100</f>
        <v/>
      </c>
    </row>
    <row r="54">
      <c r="A54" t="inlineStr">
        <is>
          <t>2026-03-29</t>
        </is>
      </c>
      <c r="B54" t="inlineStr">
        <is>
          <t>Produce</t>
        </is>
      </c>
      <c r="C54" t="inlineStr">
        <is>
          <t>Produce_Banana_6pcs</t>
        </is>
      </c>
      <c r="D54" t="n">
        <v>5</v>
      </c>
      <c r="E54" t="n">
        <v>6</v>
      </c>
      <c r="F54" t="n">
        <v>8.5</v>
      </c>
      <c r="G54" t="inlineStr">
        <is>
          <t>Scraped</t>
        </is>
      </c>
      <c r="H54">
        <f>XLOOKUP(C54, $C$2:$C$21, $F$2:$F$21)</f>
        <v/>
      </c>
      <c r="I54">
        <f>(F54/H54)*100</f>
        <v/>
      </c>
    </row>
    <row r="55">
      <c r="A55" t="inlineStr">
        <is>
          <t>2026-03-29</t>
        </is>
      </c>
      <c r="B55" t="inlineStr">
        <is>
          <t>Snacks</t>
        </is>
      </c>
      <c r="C55" t="inlineStr">
        <is>
          <t>Snacks_Tea_250g</t>
        </is>
      </c>
      <c r="D55" t="n">
        <v>3.33</v>
      </c>
      <c r="E55" t="n">
        <v>250</v>
      </c>
      <c r="F55" t="n">
        <v>45.6</v>
      </c>
      <c r="G55" t="inlineStr">
        <is>
          <t>Scraped</t>
        </is>
      </c>
      <c r="H55">
        <f>XLOOKUP(C55, $C$2:$C$21, $F$2:$F$21)</f>
        <v/>
      </c>
      <c r="I55">
        <f>(F55/H55)*100</f>
        <v/>
      </c>
    </row>
    <row r="56">
      <c r="A56" t="inlineStr">
        <is>
          <t>2026-03-29</t>
        </is>
      </c>
      <c r="B56" t="inlineStr">
        <is>
          <t>Snacks</t>
        </is>
      </c>
      <c r="C56" t="inlineStr">
        <is>
          <t>Snacks_Coffee_50g</t>
        </is>
      </c>
      <c r="D56" t="n">
        <v>3.33</v>
      </c>
      <c r="E56" t="n">
        <v>50</v>
      </c>
      <c r="F56" t="n">
        <v>446</v>
      </c>
      <c r="G56" t="inlineStr">
        <is>
          <t>Scraped</t>
        </is>
      </c>
      <c r="H56">
        <f>XLOOKUP(C56, $C$2:$C$21, $F$2:$F$21)</f>
        <v/>
      </c>
      <c r="I56">
        <f>(F56/H56)*100</f>
        <v/>
      </c>
    </row>
    <row r="57">
      <c r="A57" t="inlineStr">
        <is>
          <t>2026-03-29</t>
        </is>
      </c>
      <c r="B57" t="inlineStr">
        <is>
          <t>Snacks</t>
        </is>
      </c>
      <c r="C57" t="inlineStr">
        <is>
          <t>Snacks_ParleG_250g</t>
        </is>
      </c>
      <c r="D57" t="n">
        <v>3.34</v>
      </c>
      <c r="E57" t="n">
        <v>250</v>
      </c>
      <c r="F57" t="n">
        <v>10.8</v>
      </c>
      <c r="G57" t="inlineStr">
        <is>
          <t>Scraped</t>
        </is>
      </c>
      <c r="H57">
        <f>XLOOKUP(C57, $C$2:$C$21, $F$2:$F$21)</f>
        <v/>
      </c>
      <c r="I57">
        <f>(F57/H57)*100</f>
        <v/>
      </c>
    </row>
    <row r="58">
      <c r="A58" t="inlineStr">
        <is>
          <t>2026-03-29</t>
        </is>
      </c>
      <c r="B58" t="inlineStr">
        <is>
          <t>Staples</t>
        </is>
      </c>
      <c r="C58" t="inlineStr">
        <is>
          <t>Staples_Atta_5kg</t>
        </is>
      </c>
      <c r="D58" t="n">
        <v>6.25</v>
      </c>
      <c r="E58" t="n">
        <v>5000</v>
      </c>
      <c r="F58" t="n">
        <v>6.15</v>
      </c>
      <c r="G58" t="inlineStr">
        <is>
          <t>Scraped</t>
        </is>
      </c>
      <c r="H58">
        <f>XLOOKUP(C58, $C$2:$C$21, $F$2:$F$21)</f>
        <v/>
      </c>
      <c r="I58">
        <f>(F58/H58)*100</f>
        <v/>
      </c>
    </row>
    <row r="59">
      <c r="A59" t="inlineStr">
        <is>
          <t>2026-03-29</t>
        </is>
      </c>
      <c r="B59" t="inlineStr">
        <is>
          <t>Staples</t>
        </is>
      </c>
      <c r="C59" t="inlineStr">
        <is>
          <t>Staples_Basmati_1kg</t>
        </is>
      </c>
      <c r="D59" t="n">
        <v>6.25</v>
      </c>
      <c r="E59" t="n">
        <v>1000</v>
      </c>
      <c r="F59" t="n">
        <v>9.5</v>
      </c>
      <c r="G59" t="inlineStr">
        <is>
          <t>Scraped</t>
        </is>
      </c>
      <c r="H59">
        <f>XLOOKUP(C59, $C$2:$C$21, $F$2:$F$21)</f>
        <v/>
      </c>
      <c r="I59">
        <f>(F59/H59)*100</f>
        <v/>
      </c>
    </row>
    <row r="60">
      <c r="A60" t="inlineStr">
        <is>
          <t>2026-03-29</t>
        </is>
      </c>
      <c r="B60" t="inlineStr">
        <is>
          <t>Staples</t>
        </is>
      </c>
      <c r="C60" t="inlineStr">
        <is>
          <t>Staples_ToorDal_500g</t>
        </is>
      </c>
      <c r="D60" t="n">
        <v>6.25</v>
      </c>
      <c r="E60" t="n">
        <v>500</v>
      </c>
      <c r="F60" t="n">
        <v>17.4</v>
      </c>
      <c r="G60" t="inlineStr">
        <is>
          <t>Scraped</t>
        </is>
      </c>
      <c r="H60">
        <f>XLOOKUP(C60, $C$2:$C$21, $F$2:$F$21)</f>
        <v/>
      </c>
      <c r="I60">
        <f>(F60/H60)*100</f>
        <v/>
      </c>
    </row>
    <row r="61">
      <c r="A61" t="inlineStr">
        <is>
          <t>2026-03-29</t>
        </is>
      </c>
      <c r="B61" t="inlineStr">
        <is>
          <t>Staples</t>
        </is>
      </c>
      <c r="C61" t="inlineStr">
        <is>
          <t>Staples_Sugar_1kg</t>
        </is>
      </c>
      <c r="D61" t="n">
        <v>6.25</v>
      </c>
      <c r="E61" t="n">
        <v>1000</v>
      </c>
      <c r="F61" t="n">
        <v>6</v>
      </c>
      <c r="G61" t="inlineStr">
        <is>
          <t>Scraped</t>
        </is>
      </c>
      <c r="H61">
        <f>XLOOKUP(C61, $C$2:$C$21, $F$2:$F$21)</f>
        <v/>
      </c>
      <c r="I61">
        <f>(F61/H61)*100</f>
        <v/>
      </c>
    </row>
    <row r="62">
      <c r="A62" t="inlineStr">
        <is>
          <t>2026-03-30</t>
        </is>
      </c>
      <c r="B62" t="inlineStr">
        <is>
          <t>Dairy</t>
        </is>
      </c>
      <c r="C62" t="inlineStr">
        <is>
          <t>Dairy_TonedMilk_1L</t>
        </is>
      </c>
      <c r="D62" t="n">
        <v>5</v>
      </c>
      <c r="E62" t="n">
        <v>1000</v>
      </c>
      <c r="F62" t="n">
        <v>7.5</v>
      </c>
      <c r="G62" t="inlineStr">
        <is>
          <t>Scraped</t>
        </is>
      </c>
      <c r="H62">
        <f>XLOOKUP(C62, $C$2:$C$21, $F$2:$F$21)</f>
        <v/>
      </c>
      <c r="I62">
        <f>(F62/H62)*100</f>
        <v/>
      </c>
    </row>
    <row r="63">
      <c r="A63" t="inlineStr">
        <is>
          <t>2026-03-30</t>
        </is>
      </c>
      <c r="B63" t="inlineStr">
        <is>
          <t>Dairy</t>
        </is>
      </c>
      <c r="C63" t="inlineStr">
        <is>
          <t>Dairy_Butter_500g</t>
        </is>
      </c>
      <c r="D63" t="n">
        <v>5</v>
      </c>
      <c r="E63" t="n">
        <v>500</v>
      </c>
      <c r="F63" t="n">
        <v>57</v>
      </c>
      <c r="G63" t="inlineStr">
        <is>
          <t>Scraped</t>
        </is>
      </c>
      <c r="H63">
        <f>XLOOKUP(C63, $C$2:$C$21, $F$2:$F$21)</f>
        <v/>
      </c>
      <c r="I63">
        <f>(F63/H63)*100</f>
        <v/>
      </c>
    </row>
    <row r="64">
      <c r="A64" t="inlineStr">
        <is>
          <t>2026-03-30</t>
        </is>
      </c>
      <c r="B64" t="inlineStr">
        <is>
          <t>Dairy</t>
        </is>
      </c>
      <c r="C64" t="inlineStr">
        <is>
          <t>Dairy_Eggs_6pk</t>
        </is>
      </c>
      <c r="D64" t="n">
        <v>5</v>
      </c>
      <c r="E64" t="n">
        <v>6</v>
      </c>
      <c r="F64" t="n">
        <v>11.8</v>
      </c>
      <c r="G64" t="inlineStr">
        <is>
          <t>Imputed (Carry Forward)</t>
        </is>
      </c>
      <c r="H64">
        <f>XLOOKUP(C64, $C$2:$C$21, $F$2:$F$21)</f>
        <v/>
      </c>
      <c r="I64">
        <f>(F64/H64)*100</f>
        <v/>
      </c>
    </row>
    <row r="65">
      <c r="A65" t="inlineStr">
        <is>
          <t>2026-03-30</t>
        </is>
      </c>
      <c r="B65" t="inlineStr">
        <is>
          <t>Dairy</t>
        </is>
      </c>
      <c r="C65" t="inlineStr">
        <is>
          <t>Dairy_Paneer_200g</t>
        </is>
      </c>
      <c r="D65" t="n">
        <v>5</v>
      </c>
      <c r="E65" t="n">
        <v>200</v>
      </c>
      <c r="F65" t="n">
        <v>45</v>
      </c>
      <c r="G65" t="inlineStr">
        <is>
          <t>Scraped</t>
        </is>
      </c>
      <c r="H65">
        <f>XLOOKUP(C65, $C$2:$C$21, $F$2:$F$21)</f>
        <v/>
      </c>
      <c r="I65">
        <f>(F65/H65)*100</f>
        <v/>
      </c>
    </row>
    <row r="66">
      <c r="A66" t="inlineStr">
        <is>
          <t>2026-03-30</t>
        </is>
      </c>
      <c r="B66" t="inlineStr">
        <is>
          <t>Household</t>
        </is>
      </c>
      <c r="C66" t="inlineStr">
        <is>
          <t>Household_Soap_5x125g</t>
        </is>
      </c>
      <c r="D66" t="n">
        <v>3.33</v>
      </c>
      <c r="E66" t="n">
        <v>625</v>
      </c>
      <c r="F66" t="n">
        <v>54.4</v>
      </c>
      <c r="G66" t="inlineStr">
        <is>
          <t>Scraped</t>
        </is>
      </c>
      <c r="H66">
        <f>XLOOKUP(C66, $C$2:$C$21, $F$2:$F$21)</f>
        <v/>
      </c>
      <c r="I66">
        <f>(F66/H66)*100</f>
        <v/>
      </c>
    </row>
    <row r="67">
      <c r="A67" t="inlineStr">
        <is>
          <t>2026-03-30</t>
        </is>
      </c>
      <c r="B67" t="inlineStr">
        <is>
          <t>Household</t>
        </is>
      </c>
      <c r="C67" t="inlineStr">
        <is>
          <t>Household_Toothpaste_150g</t>
        </is>
      </c>
      <c r="D67" t="n">
        <v>3.33</v>
      </c>
      <c r="E67" t="n">
        <v>150</v>
      </c>
      <c r="F67" t="n">
        <v>86.67</v>
      </c>
      <c r="G67" t="inlineStr">
        <is>
          <t>Scraped</t>
        </is>
      </c>
      <c r="H67">
        <f>XLOOKUP(C67, $C$2:$C$21, $F$2:$F$21)</f>
        <v/>
      </c>
      <c r="I67">
        <f>(F67/H67)*100</f>
        <v/>
      </c>
    </row>
    <row r="68">
      <c r="A68" t="inlineStr">
        <is>
          <t>2026-03-30</t>
        </is>
      </c>
      <c r="B68" t="inlineStr">
        <is>
          <t>Household</t>
        </is>
      </c>
      <c r="C68" t="inlineStr">
        <is>
          <t>Household_SurfExcel_1kg</t>
        </is>
      </c>
      <c r="D68" t="n">
        <v>3.34</v>
      </c>
      <c r="E68" t="n">
        <v>1000</v>
      </c>
      <c r="F68" t="n">
        <v>13.8</v>
      </c>
      <c r="G68" t="inlineStr">
        <is>
          <t>Scraped</t>
        </is>
      </c>
      <c r="H68">
        <f>XLOOKUP(C68, $C$2:$C$21, $F$2:$F$21)</f>
        <v/>
      </c>
      <c r="I68">
        <f>(F68/H68)*100</f>
        <v/>
      </c>
    </row>
    <row r="69">
      <c r="A69" t="inlineStr">
        <is>
          <t>2026-03-30</t>
        </is>
      </c>
      <c r="B69" t="inlineStr">
        <is>
          <t>Oils</t>
        </is>
      </c>
      <c r="C69" t="inlineStr">
        <is>
          <t>Oils_Sunflower_840g</t>
        </is>
      </c>
      <c r="D69" t="n">
        <v>7.5</v>
      </c>
      <c r="E69" t="n">
        <v>840</v>
      </c>
      <c r="F69" t="n">
        <v>18.8</v>
      </c>
      <c r="G69" t="inlineStr">
        <is>
          <t>Scraped</t>
        </is>
      </c>
      <c r="H69">
        <f>XLOOKUP(C69, $C$2:$C$21, $F$2:$F$21)</f>
        <v/>
      </c>
      <c r="I69">
        <f>(F69/H69)*100</f>
        <v/>
      </c>
    </row>
    <row r="70">
      <c r="A70" t="inlineStr">
        <is>
          <t>2026-03-30</t>
        </is>
      </c>
      <c r="B70" t="inlineStr">
        <is>
          <t>Oils</t>
        </is>
      </c>
      <c r="C70" t="inlineStr">
        <is>
          <t>Oils_Mustard_1L</t>
        </is>
      </c>
      <c r="D70" t="n">
        <v>7.5</v>
      </c>
      <c r="E70" t="n">
        <v>1000</v>
      </c>
      <c r="F70" t="n">
        <v>17</v>
      </c>
      <c r="G70" t="inlineStr">
        <is>
          <t>Scraped</t>
        </is>
      </c>
      <c r="H70">
        <f>XLOOKUP(C70, $C$2:$C$21, $F$2:$F$21)</f>
        <v/>
      </c>
      <c r="I70">
        <f>(F70/H70)*100</f>
        <v/>
      </c>
    </row>
    <row r="71">
      <c r="A71" t="inlineStr">
        <is>
          <t>2026-03-30</t>
        </is>
      </c>
      <c r="B71" t="inlineStr">
        <is>
          <t>Produce</t>
        </is>
      </c>
      <c r="C71" t="inlineStr">
        <is>
          <t>Produce_Onion_1kg</t>
        </is>
      </c>
      <c r="D71" t="n">
        <v>5</v>
      </c>
      <c r="E71" t="n">
        <v>1000</v>
      </c>
      <c r="F71" t="n">
        <v>4.8</v>
      </c>
      <c r="G71" t="inlineStr">
        <is>
          <t>Scraped</t>
        </is>
      </c>
      <c r="H71">
        <f>XLOOKUP(C71, $C$2:$C$21, $F$2:$F$21)</f>
        <v/>
      </c>
      <c r="I71">
        <f>(F71/H71)*100</f>
        <v/>
      </c>
    </row>
    <row r="72">
      <c r="A72" t="inlineStr">
        <is>
          <t>2026-03-30</t>
        </is>
      </c>
      <c r="B72" t="inlineStr">
        <is>
          <t>Produce</t>
        </is>
      </c>
      <c r="C72" t="inlineStr">
        <is>
          <t>Produce_Potato_1kg</t>
        </is>
      </c>
      <c r="D72" t="n">
        <v>5</v>
      </c>
      <c r="E72" t="n">
        <v>1000</v>
      </c>
      <c r="F72" t="n">
        <v>3.8</v>
      </c>
      <c r="G72" t="inlineStr">
        <is>
          <t>Scraped</t>
        </is>
      </c>
      <c r="H72">
        <f>XLOOKUP(C72, $C$2:$C$21, $F$2:$F$21)</f>
        <v/>
      </c>
      <c r="I72">
        <f>(F72/H72)*100</f>
        <v/>
      </c>
    </row>
    <row r="73">
      <c r="A73" t="inlineStr">
        <is>
          <t>2026-03-30</t>
        </is>
      </c>
      <c r="B73" t="inlineStr">
        <is>
          <t>Produce</t>
        </is>
      </c>
      <c r="C73" t="inlineStr">
        <is>
          <t>Produce_Tomato_1kg</t>
        </is>
      </c>
      <c r="D73" t="n">
        <v>5</v>
      </c>
      <c r="E73" t="n">
        <v>1000</v>
      </c>
      <c r="F73" t="n">
        <v>6.8</v>
      </c>
      <c r="G73" t="inlineStr">
        <is>
          <t>Scraped</t>
        </is>
      </c>
      <c r="H73">
        <f>XLOOKUP(C73, $C$2:$C$21, $F$2:$F$21)</f>
        <v/>
      </c>
      <c r="I73">
        <f>(F73/H73)*100</f>
        <v/>
      </c>
    </row>
    <row r="74">
      <c r="A74" t="inlineStr">
        <is>
          <t>2026-03-30</t>
        </is>
      </c>
      <c r="B74" t="inlineStr">
        <is>
          <t>Produce</t>
        </is>
      </c>
      <c r="C74" t="inlineStr">
        <is>
          <t>Produce_Banana_6pcs</t>
        </is>
      </c>
      <c r="D74" t="n">
        <v>5</v>
      </c>
      <c r="E74" t="n">
        <v>6</v>
      </c>
      <c r="F74" t="n">
        <v>8.5</v>
      </c>
      <c r="G74" t="inlineStr">
        <is>
          <t>Scraped</t>
        </is>
      </c>
      <c r="H74">
        <f>XLOOKUP(C74, $C$2:$C$21, $F$2:$F$21)</f>
        <v/>
      </c>
      <c r="I74">
        <f>(F74/H74)*100</f>
        <v/>
      </c>
    </row>
    <row r="75">
      <c r="A75" t="inlineStr">
        <is>
          <t>2026-03-30</t>
        </is>
      </c>
      <c r="B75" t="inlineStr">
        <is>
          <t>Snacks</t>
        </is>
      </c>
      <c r="C75" t="inlineStr">
        <is>
          <t>Snacks_Tea_250g</t>
        </is>
      </c>
      <c r="D75" t="n">
        <v>3.33</v>
      </c>
      <c r="E75" t="n">
        <v>250</v>
      </c>
      <c r="F75" t="n">
        <v>45.6</v>
      </c>
      <c r="G75" t="inlineStr">
        <is>
          <t>Scraped</t>
        </is>
      </c>
      <c r="H75">
        <f>XLOOKUP(C75, $C$2:$C$21, $F$2:$F$21)</f>
        <v/>
      </c>
      <c r="I75">
        <f>(F75/H75)*100</f>
        <v/>
      </c>
    </row>
    <row r="76">
      <c r="A76" t="inlineStr">
        <is>
          <t>2026-03-30</t>
        </is>
      </c>
      <c r="B76" t="inlineStr">
        <is>
          <t>Snacks</t>
        </is>
      </c>
      <c r="C76" t="inlineStr">
        <is>
          <t>Snacks_Coffee_50g</t>
        </is>
      </c>
      <c r="D76" t="n">
        <v>3.33</v>
      </c>
      <c r="E76" t="n">
        <v>50</v>
      </c>
      <c r="F76" t="n">
        <v>446</v>
      </c>
      <c r="G76" t="inlineStr">
        <is>
          <t>Scraped</t>
        </is>
      </c>
      <c r="H76">
        <f>XLOOKUP(C76, $C$2:$C$21, $F$2:$F$21)</f>
        <v/>
      </c>
      <c r="I76">
        <f>(F76/H76)*100</f>
        <v/>
      </c>
    </row>
    <row r="77">
      <c r="A77" t="inlineStr">
        <is>
          <t>2026-03-30</t>
        </is>
      </c>
      <c r="B77" t="inlineStr">
        <is>
          <t>Snacks</t>
        </is>
      </c>
      <c r="C77" t="inlineStr">
        <is>
          <t>Snacks_ParleG_250g</t>
        </is>
      </c>
      <c r="D77" t="n">
        <v>3.34</v>
      </c>
      <c r="E77" t="n">
        <v>250</v>
      </c>
      <c r="F77" t="n">
        <v>10.8</v>
      </c>
      <c r="G77" t="inlineStr">
        <is>
          <t>Scraped</t>
        </is>
      </c>
      <c r="H77">
        <f>XLOOKUP(C77, $C$2:$C$21, $F$2:$F$21)</f>
        <v/>
      </c>
      <c r="I77">
        <f>(F77/H77)*100</f>
        <v/>
      </c>
    </row>
    <row r="78">
      <c r="A78" t="inlineStr">
        <is>
          <t>2026-03-30</t>
        </is>
      </c>
      <c r="B78" t="inlineStr">
        <is>
          <t>Staples</t>
        </is>
      </c>
      <c r="C78" t="inlineStr">
        <is>
          <t>Staples_Atta_5kg</t>
        </is>
      </c>
      <c r="D78" t="n">
        <v>6.25</v>
      </c>
      <c r="E78" t="n">
        <v>5000</v>
      </c>
      <c r="F78" t="n">
        <v>6.15</v>
      </c>
      <c r="G78" t="inlineStr">
        <is>
          <t>Scraped</t>
        </is>
      </c>
      <c r="H78">
        <f>XLOOKUP(C78, $C$2:$C$21, $F$2:$F$21)</f>
        <v/>
      </c>
      <c r="I78">
        <f>(F78/H78)*100</f>
        <v/>
      </c>
    </row>
    <row r="79">
      <c r="A79" t="inlineStr">
        <is>
          <t>2026-03-30</t>
        </is>
      </c>
      <c r="B79" t="inlineStr">
        <is>
          <t>Staples</t>
        </is>
      </c>
      <c r="C79" t="inlineStr">
        <is>
          <t>Staples_Basmati_1kg</t>
        </is>
      </c>
      <c r="D79" t="n">
        <v>6.25</v>
      </c>
      <c r="E79" t="n">
        <v>1000</v>
      </c>
      <c r="F79" t="n">
        <v>9.5</v>
      </c>
      <c r="G79" t="inlineStr">
        <is>
          <t>Scraped</t>
        </is>
      </c>
      <c r="H79">
        <f>XLOOKUP(C79, $C$2:$C$21, $F$2:$F$21)</f>
        <v/>
      </c>
      <c r="I79">
        <f>(F79/H79)*100</f>
        <v/>
      </c>
    </row>
    <row r="80">
      <c r="A80" t="inlineStr">
        <is>
          <t>2026-03-30</t>
        </is>
      </c>
      <c r="B80" t="inlineStr">
        <is>
          <t>Staples</t>
        </is>
      </c>
      <c r="C80" t="inlineStr">
        <is>
          <t>Staples_ToorDal_500g</t>
        </is>
      </c>
      <c r="D80" t="n">
        <v>6.25</v>
      </c>
      <c r="E80" t="n">
        <v>500</v>
      </c>
      <c r="F80" t="n">
        <v>17.4</v>
      </c>
      <c r="G80" t="inlineStr">
        <is>
          <t>Scraped</t>
        </is>
      </c>
      <c r="H80">
        <f>XLOOKUP(C80, $C$2:$C$21, $F$2:$F$21)</f>
        <v/>
      </c>
      <c r="I80">
        <f>(F80/H80)*100</f>
        <v/>
      </c>
    </row>
    <row r="81">
      <c r="A81" t="inlineStr">
        <is>
          <t>2026-03-30</t>
        </is>
      </c>
      <c r="B81" t="inlineStr">
        <is>
          <t>Staples</t>
        </is>
      </c>
      <c r="C81" t="inlineStr">
        <is>
          <t>Staples_Sugar_1kg</t>
        </is>
      </c>
      <c r="D81" t="n">
        <v>6.25</v>
      </c>
      <c r="E81" t="n">
        <v>1000</v>
      </c>
      <c r="F81" t="n">
        <v>6</v>
      </c>
      <c r="G81" t="inlineStr">
        <is>
          <t>Scraped</t>
        </is>
      </c>
      <c r="H81">
        <f>XLOOKUP(C81, $C$2:$C$21, $F$2:$F$21)</f>
        <v/>
      </c>
      <c r="I81">
        <f>(F81/H81)*100</f>
        <v/>
      </c>
    </row>
    <row r="82">
      <c r="A82" t="inlineStr">
        <is>
          <t>2026-03-31</t>
        </is>
      </c>
      <c r="B82" t="inlineStr">
        <is>
          <t>Dairy</t>
        </is>
      </c>
      <c r="C82" t="inlineStr">
        <is>
          <t>Dairy_TonedMilk_1L</t>
        </is>
      </c>
      <c r="D82" t="n">
        <v>5</v>
      </c>
      <c r="E82" t="n">
        <v>1000</v>
      </c>
      <c r="F82" t="n">
        <v>7.5</v>
      </c>
      <c r="G82" t="inlineStr">
        <is>
          <t>Scraped</t>
        </is>
      </c>
      <c r="H82">
        <f>XLOOKUP(C82, $C$2:$C$21, $F$2:$F$21)</f>
        <v/>
      </c>
      <c r="I82">
        <f>(F82/H82)*100</f>
        <v/>
      </c>
    </row>
    <row r="83">
      <c r="A83" t="inlineStr">
        <is>
          <t>2026-03-31</t>
        </is>
      </c>
      <c r="B83" t="inlineStr">
        <is>
          <t>Dairy</t>
        </is>
      </c>
      <c r="C83" t="inlineStr">
        <is>
          <t>Dairy_Butter_500g</t>
        </is>
      </c>
      <c r="D83" t="n">
        <v>5</v>
      </c>
      <c r="E83" t="n">
        <v>500</v>
      </c>
      <c r="F83" t="n">
        <v>57</v>
      </c>
      <c r="G83" t="inlineStr">
        <is>
          <t>Scraped</t>
        </is>
      </c>
      <c r="H83">
        <f>XLOOKUP(C83, $C$2:$C$21, $F$2:$F$21)</f>
        <v/>
      </c>
      <c r="I83">
        <f>(F83/H83)*100</f>
        <v/>
      </c>
    </row>
    <row r="84">
      <c r="A84" t="inlineStr">
        <is>
          <t>2026-03-31</t>
        </is>
      </c>
      <c r="B84" t="inlineStr">
        <is>
          <t>Dairy</t>
        </is>
      </c>
      <c r="C84" t="inlineStr">
        <is>
          <t>Dairy_Eggs_6pk</t>
        </is>
      </c>
      <c r="D84" t="n">
        <v>5</v>
      </c>
      <c r="E84" t="n">
        <v>6</v>
      </c>
      <c r="F84" t="n">
        <v>11.8</v>
      </c>
      <c r="G84" t="inlineStr">
        <is>
          <t>Imputed (Carry Forward)</t>
        </is>
      </c>
      <c r="H84">
        <f>XLOOKUP(C84, $C$2:$C$21, $F$2:$F$21)</f>
        <v/>
      </c>
      <c r="I84">
        <f>(F84/H84)*100</f>
        <v/>
      </c>
    </row>
    <row r="85">
      <c r="A85" t="inlineStr">
        <is>
          <t>2026-03-31</t>
        </is>
      </c>
      <c r="B85" t="inlineStr">
        <is>
          <t>Dairy</t>
        </is>
      </c>
      <c r="C85" t="inlineStr">
        <is>
          <t>Dairy_Paneer_200g</t>
        </is>
      </c>
      <c r="D85" t="n">
        <v>5</v>
      </c>
      <c r="E85" t="n">
        <v>200</v>
      </c>
      <c r="F85" t="n">
        <v>45</v>
      </c>
      <c r="G85" t="inlineStr">
        <is>
          <t>Scraped</t>
        </is>
      </c>
      <c r="H85">
        <f>XLOOKUP(C85, $C$2:$C$21, $F$2:$F$21)</f>
        <v/>
      </c>
      <c r="I85">
        <f>(F85/H85)*100</f>
        <v/>
      </c>
    </row>
    <row r="86">
      <c r="A86" t="inlineStr">
        <is>
          <t>2026-03-31</t>
        </is>
      </c>
      <c r="B86" t="inlineStr">
        <is>
          <t>Household</t>
        </is>
      </c>
      <c r="C86" t="inlineStr">
        <is>
          <t>Household_Soap_5x125g</t>
        </is>
      </c>
      <c r="D86" t="n">
        <v>3.33</v>
      </c>
      <c r="E86" t="n">
        <v>625</v>
      </c>
      <c r="F86" t="n">
        <v>54.4</v>
      </c>
      <c r="G86" t="inlineStr">
        <is>
          <t>Scraped</t>
        </is>
      </c>
      <c r="H86">
        <f>XLOOKUP(C86, $C$2:$C$21, $F$2:$F$21)</f>
        <v/>
      </c>
      <c r="I86">
        <f>(F86/H86)*100</f>
        <v/>
      </c>
    </row>
    <row r="87">
      <c r="A87" t="inlineStr">
        <is>
          <t>2026-03-31</t>
        </is>
      </c>
      <c r="B87" t="inlineStr">
        <is>
          <t>Household</t>
        </is>
      </c>
      <c r="C87" t="inlineStr">
        <is>
          <t>Household_Toothpaste_150g</t>
        </is>
      </c>
      <c r="D87" t="n">
        <v>3.33</v>
      </c>
      <c r="E87" t="n">
        <v>150</v>
      </c>
      <c r="F87" t="n">
        <v>86.67</v>
      </c>
      <c r="G87" t="inlineStr">
        <is>
          <t>Scraped</t>
        </is>
      </c>
      <c r="H87">
        <f>XLOOKUP(C87, $C$2:$C$21, $F$2:$F$21)</f>
        <v/>
      </c>
      <c r="I87">
        <f>(F87/H87)*100</f>
        <v/>
      </c>
    </row>
    <row r="88">
      <c r="A88" t="inlineStr">
        <is>
          <t>2026-03-31</t>
        </is>
      </c>
      <c r="B88" t="inlineStr">
        <is>
          <t>Household</t>
        </is>
      </c>
      <c r="C88" t="inlineStr">
        <is>
          <t>Household_SurfExcel_1kg</t>
        </is>
      </c>
      <c r="D88" t="n">
        <v>3.34</v>
      </c>
      <c r="E88" t="n">
        <v>1000</v>
      </c>
      <c r="F88" t="n">
        <v>13.8</v>
      </c>
      <c r="G88" t="inlineStr">
        <is>
          <t>Scraped</t>
        </is>
      </c>
      <c r="H88">
        <f>XLOOKUP(C88, $C$2:$C$21, $F$2:$F$21)</f>
        <v/>
      </c>
      <c r="I88">
        <f>(F88/H88)*100</f>
        <v/>
      </c>
    </row>
    <row r="89">
      <c r="A89" t="inlineStr">
        <is>
          <t>2026-03-31</t>
        </is>
      </c>
      <c r="B89" t="inlineStr">
        <is>
          <t>Oils</t>
        </is>
      </c>
      <c r="C89" t="inlineStr">
        <is>
          <t>Oils_Sunflower_840g</t>
        </is>
      </c>
      <c r="D89" t="n">
        <v>7.5</v>
      </c>
      <c r="E89" t="n">
        <v>840</v>
      </c>
      <c r="F89" t="n">
        <v>18.8</v>
      </c>
      <c r="G89" t="inlineStr">
        <is>
          <t>Scraped</t>
        </is>
      </c>
      <c r="H89">
        <f>XLOOKUP(C89, $C$2:$C$21, $F$2:$F$21)</f>
        <v/>
      </c>
      <c r="I89">
        <f>(F89/H89)*100</f>
        <v/>
      </c>
    </row>
    <row r="90">
      <c r="A90" t="inlineStr">
        <is>
          <t>2026-03-31</t>
        </is>
      </c>
      <c r="B90" t="inlineStr">
        <is>
          <t>Oils</t>
        </is>
      </c>
      <c r="C90" t="inlineStr">
        <is>
          <t>Oils_Mustard_1L</t>
        </is>
      </c>
      <c r="D90" t="n">
        <v>7.5</v>
      </c>
      <c r="E90" t="n">
        <v>1000</v>
      </c>
      <c r="F90" t="n">
        <v>17</v>
      </c>
      <c r="G90" t="inlineStr">
        <is>
          <t>Scraped</t>
        </is>
      </c>
      <c r="H90">
        <f>XLOOKUP(C90, $C$2:$C$21, $F$2:$F$21)</f>
        <v/>
      </c>
      <c r="I90">
        <f>(F90/H90)*100</f>
        <v/>
      </c>
    </row>
    <row r="91">
      <c r="A91" t="inlineStr">
        <is>
          <t>2026-03-31</t>
        </is>
      </c>
      <c r="B91" t="inlineStr">
        <is>
          <t>Produce</t>
        </is>
      </c>
      <c r="C91" t="inlineStr">
        <is>
          <t>Produce_Onion_1kg</t>
        </is>
      </c>
      <c r="D91" t="n">
        <v>5</v>
      </c>
      <c r="E91" t="n">
        <v>1000</v>
      </c>
      <c r="F91" t="n">
        <v>4.8</v>
      </c>
      <c r="G91" t="inlineStr">
        <is>
          <t>Scraped</t>
        </is>
      </c>
      <c r="H91">
        <f>XLOOKUP(C91, $C$2:$C$21, $F$2:$F$21)</f>
        <v/>
      </c>
      <c r="I91">
        <f>(F91/H91)*100</f>
        <v/>
      </c>
    </row>
    <row r="92">
      <c r="A92" t="inlineStr">
        <is>
          <t>2026-03-31</t>
        </is>
      </c>
      <c r="B92" t="inlineStr">
        <is>
          <t>Produce</t>
        </is>
      </c>
      <c r="C92" t="inlineStr">
        <is>
          <t>Produce_Potato_1kg</t>
        </is>
      </c>
      <c r="D92" t="n">
        <v>5</v>
      </c>
      <c r="E92" t="n">
        <v>1000</v>
      </c>
      <c r="F92" t="n">
        <v>3.9</v>
      </c>
      <c r="G92" t="inlineStr">
        <is>
          <t>Scraped</t>
        </is>
      </c>
      <c r="H92">
        <f>XLOOKUP(C92, $C$2:$C$21, $F$2:$F$21)</f>
        <v/>
      </c>
      <c r="I92">
        <f>(F92/H92)*100</f>
        <v/>
      </c>
    </row>
    <row r="93">
      <c r="A93" t="inlineStr">
        <is>
          <t>2026-03-31</t>
        </is>
      </c>
      <c r="B93" t="inlineStr">
        <is>
          <t>Produce</t>
        </is>
      </c>
      <c r="C93" t="inlineStr">
        <is>
          <t>Produce_Tomato_1kg</t>
        </is>
      </c>
      <c r="D93" t="n">
        <v>5</v>
      </c>
      <c r="E93" t="n">
        <v>1000</v>
      </c>
      <c r="F93" t="n">
        <v>6.2</v>
      </c>
      <c r="G93" t="inlineStr">
        <is>
          <t>Scraped</t>
        </is>
      </c>
      <c r="H93">
        <f>XLOOKUP(C93, $C$2:$C$21, $F$2:$F$21)</f>
        <v/>
      </c>
      <c r="I93">
        <f>(F93/H93)*100</f>
        <v/>
      </c>
    </row>
    <row r="94">
      <c r="A94" t="inlineStr">
        <is>
          <t>2026-03-31</t>
        </is>
      </c>
      <c r="B94" t="inlineStr">
        <is>
          <t>Produce</t>
        </is>
      </c>
      <c r="C94" t="inlineStr">
        <is>
          <t>Produce_Banana_6pcs</t>
        </is>
      </c>
      <c r="D94" t="n">
        <v>5</v>
      </c>
      <c r="E94" t="n">
        <v>6</v>
      </c>
      <c r="F94" t="n">
        <v>8.5</v>
      </c>
      <c r="G94" t="inlineStr">
        <is>
          <t>Scraped</t>
        </is>
      </c>
      <c r="H94">
        <f>XLOOKUP(C94, $C$2:$C$21, $F$2:$F$21)</f>
        <v/>
      </c>
      <c r="I94">
        <f>(F94/H94)*100</f>
        <v/>
      </c>
    </row>
    <row r="95">
      <c r="A95" t="inlineStr">
        <is>
          <t>2026-03-31</t>
        </is>
      </c>
      <c r="B95" t="inlineStr">
        <is>
          <t>Snacks</t>
        </is>
      </c>
      <c r="C95" t="inlineStr">
        <is>
          <t>Snacks_Tea_250g</t>
        </is>
      </c>
      <c r="D95" t="n">
        <v>3.33</v>
      </c>
      <c r="E95" t="n">
        <v>250</v>
      </c>
      <c r="F95" t="n">
        <v>45.6</v>
      </c>
      <c r="G95" t="inlineStr">
        <is>
          <t>Scraped</t>
        </is>
      </c>
      <c r="H95">
        <f>XLOOKUP(C95, $C$2:$C$21, $F$2:$F$21)</f>
        <v/>
      </c>
      <c r="I95">
        <f>(F95/H95)*100</f>
        <v/>
      </c>
    </row>
    <row r="96">
      <c r="A96" t="inlineStr">
        <is>
          <t>2026-03-31</t>
        </is>
      </c>
      <c r="B96" t="inlineStr">
        <is>
          <t>Snacks</t>
        </is>
      </c>
      <c r="C96" t="inlineStr">
        <is>
          <t>Snacks_Coffee_50g</t>
        </is>
      </c>
      <c r="D96" t="n">
        <v>3.33</v>
      </c>
      <c r="E96" t="n">
        <v>50</v>
      </c>
      <c r="F96" t="n">
        <v>446</v>
      </c>
      <c r="G96" t="inlineStr">
        <is>
          <t>Scraped</t>
        </is>
      </c>
      <c r="H96">
        <f>XLOOKUP(C96, $C$2:$C$21, $F$2:$F$21)</f>
        <v/>
      </c>
      <c r="I96">
        <f>(F96/H96)*100</f>
        <v/>
      </c>
    </row>
    <row r="97">
      <c r="A97" t="inlineStr">
        <is>
          <t>2026-03-31</t>
        </is>
      </c>
      <c r="B97" t="inlineStr">
        <is>
          <t>Snacks</t>
        </is>
      </c>
      <c r="C97" t="inlineStr">
        <is>
          <t>Snacks_ParleG_250g</t>
        </is>
      </c>
      <c r="D97" t="n">
        <v>3.34</v>
      </c>
      <c r="E97" t="n">
        <v>250</v>
      </c>
      <c r="F97" t="n">
        <v>10.8</v>
      </c>
      <c r="G97" t="inlineStr">
        <is>
          <t>Scraped</t>
        </is>
      </c>
      <c r="H97">
        <f>XLOOKUP(C97, $C$2:$C$21, $F$2:$F$21)</f>
        <v/>
      </c>
      <c r="I97">
        <f>(F97/H97)*100</f>
        <v/>
      </c>
    </row>
    <row r="98">
      <c r="A98" t="inlineStr">
        <is>
          <t>2026-03-31</t>
        </is>
      </c>
      <c r="B98" t="inlineStr">
        <is>
          <t>Staples</t>
        </is>
      </c>
      <c r="C98" t="inlineStr">
        <is>
          <t>Staples_Atta_5kg</t>
        </is>
      </c>
      <c r="D98" t="n">
        <v>6.25</v>
      </c>
      <c r="E98" t="n">
        <v>5000</v>
      </c>
      <c r="F98" t="n">
        <v>6.15</v>
      </c>
      <c r="G98" t="inlineStr">
        <is>
          <t>Scraped</t>
        </is>
      </c>
      <c r="H98">
        <f>XLOOKUP(C98, $C$2:$C$21, $F$2:$F$21)</f>
        <v/>
      </c>
      <c r="I98">
        <f>(F98/H98)*100</f>
        <v/>
      </c>
    </row>
    <row r="99">
      <c r="A99" t="inlineStr">
        <is>
          <t>2026-03-31</t>
        </is>
      </c>
      <c r="B99" t="inlineStr">
        <is>
          <t>Staples</t>
        </is>
      </c>
      <c r="C99" t="inlineStr">
        <is>
          <t>Staples_Basmati_1kg</t>
        </is>
      </c>
      <c r="D99" t="n">
        <v>6.25</v>
      </c>
      <c r="E99" t="n">
        <v>1000</v>
      </c>
      <c r="F99" t="n">
        <v>9.5</v>
      </c>
      <c r="G99" t="inlineStr">
        <is>
          <t>Scraped</t>
        </is>
      </c>
      <c r="H99">
        <f>XLOOKUP(C99, $C$2:$C$21, $F$2:$F$21)</f>
        <v/>
      </c>
      <c r="I99">
        <f>(F99/H99)*100</f>
        <v/>
      </c>
    </row>
    <row r="100">
      <c r="A100" t="inlineStr">
        <is>
          <t>2026-03-31</t>
        </is>
      </c>
      <c r="B100" t="inlineStr">
        <is>
          <t>Staples</t>
        </is>
      </c>
      <c r="C100" t="inlineStr">
        <is>
          <t>Staples_ToorDal_500g</t>
        </is>
      </c>
      <c r="D100" t="n">
        <v>6.25</v>
      </c>
      <c r="E100" t="n">
        <v>500</v>
      </c>
      <c r="F100" t="n">
        <v>17.5</v>
      </c>
      <c r="G100" t="inlineStr">
        <is>
          <t>Scraped</t>
        </is>
      </c>
      <c r="H100">
        <f>XLOOKUP(C100, $C$2:$C$21, $F$2:$F$21)</f>
        <v/>
      </c>
      <c r="I100">
        <f>(F100/H100)*100</f>
        <v/>
      </c>
    </row>
    <row r="101">
      <c r="A101" t="inlineStr">
        <is>
          <t>2026-03-31</t>
        </is>
      </c>
      <c r="B101" t="inlineStr">
        <is>
          <t>Staples</t>
        </is>
      </c>
      <c r="C101" t="inlineStr">
        <is>
          <t>Staples_Sugar_1kg</t>
        </is>
      </c>
      <c r="D101" t="n">
        <v>6.25</v>
      </c>
      <c r="E101" t="n">
        <v>1000</v>
      </c>
      <c r="F101" t="n">
        <v>6</v>
      </c>
      <c r="G101" t="inlineStr">
        <is>
          <t>Scraped</t>
        </is>
      </c>
      <c r="H101">
        <f>XLOOKUP(C101, $C$2:$C$21, $F$2:$F$21)</f>
        <v/>
      </c>
      <c r="I101">
        <f>(F101/H101)*100</f>
        <v/>
      </c>
    </row>
    <row r="102">
      <c r="A102" t="inlineStr">
        <is>
          <t>2026-04-01</t>
        </is>
      </c>
      <c r="B102" t="inlineStr">
        <is>
          <t>Dairy</t>
        </is>
      </c>
      <c r="C102" t="inlineStr">
        <is>
          <t>Dairy_TonedMilk_1L</t>
        </is>
      </c>
      <c r="D102" t="n">
        <v>5</v>
      </c>
      <c r="E102" t="n">
        <v>1000</v>
      </c>
      <c r="F102" t="n">
        <v>7.5</v>
      </c>
      <c r="G102" t="inlineStr">
        <is>
          <t>Scraped</t>
        </is>
      </c>
      <c r="H102">
        <f>XLOOKUP(C102, $C$2:$C$21, $F$2:$F$21)</f>
        <v/>
      </c>
      <c r="I102">
        <f>(F102/H102)*100</f>
        <v/>
      </c>
    </row>
    <row r="103">
      <c r="A103" t="inlineStr">
        <is>
          <t>2026-04-01</t>
        </is>
      </c>
      <c r="B103" t="inlineStr">
        <is>
          <t>Dairy</t>
        </is>
      </c>
      <c r="C103" t="inlineStr">
        <is>
          <t>Dairy_Butter_500g</t>
        </is>
      </c>
      <c r="D103" t="n">
        <v>5</v>
      </c>
      <c r="E103" t="n">
        <v>500</v>
      </c>
      <c r="F103" t="n">
        <v>57</v>
      </c>
      <c r="G103" t="inlineStr">
        <is>
          <t>Scraped</t>
        </is>
      </c>
      <c r="H103">
        <f>XLOOKUP(C103, $C$2:$C$21, $F$2:$F$21)</f>
        <v/>
      </c>
      <c r="I103">
        <f>(F103/H103)*100</f>
        <v/>
      </c>
    </row>
    <row r="104">
      <c r="A104" t="inlineStr">
        <is>
          <t>2026-04-01</t>
        </is>
      </c>
      <c r="B104" t="inlineStr">
        <is>
          <t>Dairy</t>
        </is>
      </c>
      <c r="C104" t="inlineStr">
        <is>
          <t>Dairy_Eggs_6pk</t>
        </is>
      </c>
      <c r="D104" t="n">
        <v>5</v>
      </c>
      <c r="E104" t="n">
        <v>6</v>
      </c>
      <c r="F104" t="n">
        <v>12</v>
      </c>
      <c r="G104" t="inlineStr">
        <is>
          <t>Scraped</t>
        </is>
      </c>
      <c r="H104">
        <f>XLOOKUP(C104, $C$2:$C$21, $F$2:$F$21)</f>
        <v/>
      </c>
      <c r="I104">
        <f>(F104/H104)*100</f>
        <v/>
      </c>
    </row>
    <row r="105">
      <c r="A105" t="inlineStr">
        <is>
          <t>2026-04-01</t>
        </is>
      </c>
      <c r="B105" t="inlineStr">
        <is>
          <t>Dairy</t>
        </is>
      </c>
      <c r="C105" t="inlineStr">
        <is>
          <t>Dairy_Paneer_200g</t>
        </is>
      </c>
      <c r="D105" t="n">
        <v>5</v>
      </c>
      <c r="E105" t="n">
        <v>200</v>
      </c>
      <c r="F105" t="n">
        <v>45</v>
      </c>
      <c r="G105" t="inlineStr">
        <is>
          <t>Scraped</t>
        </is>
      </c>
      <c r="H105">
        <f>XLOOKUP(C105, $C$2:$C$21, $F$2:$F$21)</f>
        <v/>
      </c>
      <c r="I105">
        <f>(F105/H105)*100</f>
        <v/>
      </c>
    </row>
    <row r="106">
      <c r="A106" t="inlineStr">
        <is>
          <t>2026-04-01</t>
        </is>
      </c>
      <c r="B106" t="inlineStr">
        <is>
          <t>Household</t>
        </is>
      </c>
      <c r="C106" t="inlineStr">
        <is>
          <t>Household_Soap_5x125g</t>
        </is>
      </c>
      <c r="D106" t="n">
        <v>3.33</v>
      </c>
      <c r="E106" t="n">
        <v>625</v>
      </c>
      <c r="F106" t="n">
        <v>54.4</v>
      </c>
      <c r="G106" t="inlineStr">
        <is>
          <t>Scraped</t>
        </is>
      </c>
      <c r="H106">
        <f>XLOOKUP(C106, $C$2:$C$21, $F$2:$F$21)</f>
        <v/>
      </c>
      <c r="I106">
        <f>(F106/H106)*100</f>
        <v/>
      </c>
    </row>
    <row r="107">
      <c r="A107" t="inlineStr">
        <is>
          <t>2026-04-01</t>
        </is>
      </c>
      <c r="B107" t="inlineStr">
        <is>
          <t>Household</t>
        </is>
      </c>
      <c r="C107" t="inlineStr">
        <is>
          <t>Household_Toothpaste_150g</t>
        </is>
      </c>
      <c r="D107" t="n">
        <v>3.33</v>
      </c>
      <c r="E107" t="n">
        <v>150</v>
      </c>
      <c r="F107" t="n">
        <v>86.67</v>
      </c>
      <c r="G107" t="inlineStr">
        <is>
          <t>Scraped</t>
        </is>
      </c>
      <c r="H107">
        <f>XLOOKUP(C107, $C$2:$C$21, $F$2:$F$21)</f>
        <v/>
      </c>
      <c r="I107">
        <f>(F107/H107)*100</f>
        <v/>
      </c>
    </row>
    <row r="108">
      <c r="A108" t="inlineStr">
        <is>
          <t>2026-04-01</t>
        </is>
      </c>
      <c r="B108" t="inlineStr">
        <is>
          <t>Household</t>
        </is>
      </c>
      <c r="C108" t="inlineStr">
        <is>
          <t>Household_SurfExcel_1kg</t>
        </is>
      </c>
      <c r="D108" t="n">
        <v>3.34</v>
      </c>
      <c r="E108" t="n">
        <v>1000</v>
      </c>
      <c r="F108" t="n">
        <v>13.8</v>
      </c>
      <c r="G108" t="inlineStr">
        <is>
          <t>Scraped</t>
        </is>
      </c>
      <c r="H108">
        <f>XLOOKUP(C108, $C$2:$C$21, $F$2:$F$21)</f>
        <v/>
      </c>
      <c r="I108">
        <f>(F108/H108)*100</f>
        <v/>
      </c>
    </row>
    <row r="109">
      <c r="A109" t="inlineStr">
        <is>
          <t>2026-04-01</t>
        </is>
      </c>
      <c r="B109" t="inlineStr">
        <is>
          <t>Oils</t>
        </is>
      </c>
      <c r="C109" t="inlineStr">
        <is>
          <t>Oils_Sunflower_840g</t>
        </is>
      </c>
      <c r="D109" t="n">
        <v>7.5</v>
      </c>
      <c r="E109" t="n">
        <v>840</v>
      </c>
      <c r="F109" t="n">
        <v>18.8</v>
      </c>
      <c r="G109" t="inlineStr">
        <is>
          <t>Scraped</t>
        </is>
      </c>
      <c r="H109">
        <f>XLOOKUP(C109, $C$2:$C$21, $F$2:$F$21)</f>
        <v/>
      </c>
      <c r="I109">
        <f>(F109/H109)*100</f>
        <v/>
      </c>
    </row>
    <row r="110">
      <c r="A110" t="inlineStr">
        <is>
          <t>2026-04-01</t>
        </is>
      </c>
      <c r="B110" t="inlineStr">
        <is>
          <t>Oils</t>
        </is>
      </c>
      <c r="C110" t="inlineStr">
        <is>
          <t>Oils_Mustard_1L</t>
        </is>
      </c>
      <c r="D110" t="n">
        <v>7.5</v>
      </c>
      <c r="E110" t="n">
        <v>1000</v>
      </c>
      <c r="F110" t="n">
        <v>17</v>
      </c>
      <c r="G110" t="inlineStr">
        <is>
          <t>Scraped</t>
        </is>
      </c>
      <c r="H110">
        <f>XLOOKUP(C110, $C$2:$C$21, $F$2:$F$21)</f>
        <v/>
      </c>
      <c r="I110">
        <f>(F110/H110)*100</f>
        <v/>
      </c>
    </row>
    <row r="111">
      <c r="A111" t="inlineStr">
        <is>
          <t>2026-04-01</t>
        </is>
      </c>
      <c r="B111" t="inlineStr">
        <is>
          <t>Produce</t>
        </is>
      </c>
      <c r="C111" t="inlineStr">
        <is>
          <t>Produce_Onion_1kg</t>
        </is>
      </c>
      <c r="D111" t="n">
        <v>5</v>
      </c>
      <c r="E111" t="n">
        <v>1000</v>
      </c>
      <c r="F111" t="n">
        <v>4.6</v>
      </c>
      <c r="G111" t="inlineStr">
        <is>
          <t>Scraped</t>
        </is>
      </c>
      <c r="H111">
        <f>XLOOKUP(C111, $C$2:$C$21, $F$2:$F$21)</f>
        <v/>
      </c>
      <c r="I111">
        <f>(F111/H111)*100</f>
        <v/>
      </c>
    </row>
    <row r="112">
      <c r="A112" t="inlineStr">
        <is>
          <t>2026-04-01</t>
        </is>
      </c>
      <c r="B112" t="inlineStr">
        <is>
          <t>Produce</t>
        </is>
      </c>
      <c r="C112" t="inlineStr">
        <is>
          <t>Produce_Potato_1kg</t>
        </is>
      </c>
      <c r="D112" t="n">
        <v>5</v>
      </c>
      <c r="E112" t="n">
        <v>1000</v>
      </c>
      <c r="F112" t="n">
        <v>3.9</v>
      </c>
      <c r="G112" t="inlineStr">
        <is>
          <t>Scraped</t>
        </is>
      </c>
      <c r="H112">
        <f>XLOOKUP(C112, $C$2:$C$21, $F$2:$F$21)</f>
        <v/>
      </c>
      <c r="I112">
        <f>(F112/H112)*100</f>
        <v/>
      </c>
    </row>
    <row r="113">
      <c r="A113" t="inlineStr">
        <is>
          <t>2026-04-01</t>
        </is>
      </c>
      <c r="B113" t="inlineStr">
        <is>
          <t>Produce</t>
        </is>
      </c>
      <c r="C113" t="inlineStr">
        <is>
          <t>Produce_Tomato_1kg</t>
        </is>
      </c>
      <c r="D113" t="n">
        <v>5</v>
      </c>
      <c r="E113" t="n">
        <v>1000</v>
      </c>
      <c r="F113" t="n">
        <v>5.8</v>
      </c>
      <c r="G113" t="inlineStr">
        <is>
          <t>Scraped</t>
        </is>
      </c>
      <c r="H113">
        <f>XLOOKUP(C113, $C$2:$C$21, $F$2:$F$21)</f>
        <v/>
      </c>
      <c r="I113">
        <f>(F113/H113)*100</f>
        <v/>
      </c>
    </row>
    <row r="114">
      <c r="A114" t="inlineStr">
        <is>
          <t>2026-04-01</t>
        </is>
      </c>
      <c r="B114" t="inlineStr">
        <is>
          <t>Produce</t>
        </is>
      </c>
      <c r="C114" t="inlineStr">
        <is>
          <t>Produce_Banana_6pcs</t>
        </is>
      </c>
      <c r="D114" t="n">
        <v>5</v>
      </c>
      <c r="E114" t="n">
        <v>6</v>
      </c>
      <c r="F114" t="n">
        <v>8.5</v>
      </c>
      <c r="G114" t="inlineStr">
        <is>
          <t>Scraped</t>
        </is>
      </c>
      <c r="H114">
        <f>XLOOKUP(C114, $C$2:$C$21, $F$2:$F$21)</f>
        <v/>
      </c>
      <c r="I114">
        <f>(F114/H114)*100</f>
        <v/>
      </c>
    </row>
    <row r="115">
      <c r="A115" t="inlineStr">
        <is>
          <t>2026-04-01</t>
        </is>
      </c>
      <c r="B115" t="inlineStr">
        <is>
          <t>Snacks</t>
        </is>
      </c>
      <c r="C115" t="inlineStr">
        <is>
          <t>Snacks_Tea_250g</t>
        </is>
      </c>
      <c r="D115" t="n">
        <v>3.33</v>
      </c>
      <c r="E115" t="n">
        <v>250</v>
      </c>
      <c r="F115" t="n">
        <v>45.6</v>
      </c>
      <c r="G115" t="inlineStr">
        <is>
          <t>Scraped</t>
        </is>
      </c>
      <c r="H115">
        <f>XLOOKUP(C115, $C$2:$C$21, $F$2:$F$21)</f>
        <v/>
      </c>
      <c r="I115">
        <f>(F115/H115)*100</f>
        <v/>
      </c>
    </row>
    <row r="116">
      <c r="A116" t="inlineStr">
        <is>
          <t>2026-04-01</t>
        </is>
      </c>
      <c r="B116" t="inlineStr">
        <is>
          <t>Snacks</t>
        </is>
      </c>
      <c r="C116" t="inlineStr">
        <is>
          <t>Snacks_Coffee_50g</t>
        </is>
      </c>
      <c r="D116" t="n">
        <v>3.33</v>
      </c>
      <c r="E116" t="n">
        <v>50</v>
      </c>
      <c r="F116" t="n">
        <v>446</v>
      </c>
      <c r="G116" t="inlineStr">
        <is>
          <t>Scraped</t>
        </is>
      </c>
      <c r="H116">
        <f>XLOOKUP(C116, $C$2:$C$21, $F$2:$F$21)</f>
        <v/>
      </c>
      <c r="I116">
        <f>(F116/H116)*100</f>
        <v/>
      </c>
    </row>
    <row r="117">
      <c r="A117" t="inlineStr">
        <is>
          <t>2026-04-01</t>
        </is>
      </c>
      <c r="B117" t="inlineStr">
        <is>
          <t>Snacks</t>
        </is>
      </c>
      <c r="C117" t="inlineStr">
        <is>
          <t>Snacks_ParleG_250g</t>
        </is>
      </c>
      <c r="D117" t="n">
        <v>3.34</v>
      </c>
      <c r="E117" t="n">
        <v>250</v>
      </c>
      <c r="F117" t="n">
        <v>10.8</v>
      </c>
      <c r="G117" t="inlineStr">
        <is>
          <t>Scraped</t>
        </is>
      </c>
      <c r="H117">
        <f>XLOOKUP(C117, $C$2:$C$21, $F$2:$F$21)</f>
        <v/>
      </c>
      <c r="I117">
        <f>(F117/H117)*100</f>
        <v/>
      </c>
    </row>
    <row r="118">
      <c r="A118" t="inlineStr">
        <is>
          <t>2026-04-01</t>
        </is>
      </c>
      <c r="B118" t="inlineStr">
        <is>
          <t>Staples</t>
        </is>
      </c>
      <c r="C118" t="inlineStr">
        <is>
          <t>Staples_Atta_5kg</t>
        </is>
      </c>
      <c r="D118" t="n">
        <v>6.25</v>
      </c>
      <c r="E118" t="n">
        <v>5000</v>
      </c>
      <c r="F118" t="n">
        <v>6.15</v>
      </c>
      <c r="G118" t="inlineStr">
        <is>
          <t>Scraped</t>
        </is>
      </c>
      <c r="H118">
        <f>XLOOKUP(C118, $C$2:$C$21, $F$2:$F$21)</f>
        <v/>
      </c>
      <c r="I118">
        <f>(F118/H118)*100</f>
        <v/>
      </c>
    </row>
    <row r="119">
      <c r="A119" t="inlineStr">
        <is>
          <t>2026-04-01</t>
        </is>
      </c>
      <c r="B119" t="inlineStr">
        <is>
          <t>Staples</t>
        </is>
      </c>
      <c r="C119" t="inlineStr">
        <is>
          <t>Staples_Basmati_1kg</t>
        </is>
      </c>
      <c r="D119" t="n">
        <v>6.25</v>
      </c>
      <c r="E119" t="n">
        <v>1000</v>
      </c>
      <c r="F119" t="n">
        <v>9.5</v>
      </c>
      <c r="G119" t="inlineStr">
        <is>
          <t>Scraped</t>
        </is>
      </c>
      <c r="H119">
        <f>XLOOKUP(C119, $C$2:$C$21, $F$2:$F$21)</f>
        <v/>
      </c>
      <c r="I119">
        <f>(F119/H119)*100</f>
        <v/>
      </c>
    </row>
    <row r="120">
      <c r="A120" t="inlineStr">
        <is>
          <t>2026-04-01</t>
        </is>
      </c>
      <c r="B120" t="inlineStr">
        <is>
          <t>Staples</t>
        </is>
      </c>
      <c r="C120" t="inlineStr">
        <is>
          <t>Staples_ToorDal_500g</t>
        </is>
      </c>
      <c r="D120" t="n">
        <v>6.25</v>
      </c>
      <c r="E120" t="n">
        <v>500</v>
      </c>
      <c r="F120" t="n">
        <v>17.5</v>
      </c>
      <c r="G120" t="inlineStr">
        <is>
          <t>Scraped</t>
        </is>
      </c>
      <c r="H120">
        <f>XLOOKUP(C120, $C$2:$C$21, $F$2:$F$21)</f>
        <v/>
      </c>
      <c r="I120">
        <f>(F120/H120)*100</f>
        <v/>
      </c>
    </row>
    <row r="121">
      <c r="A121" t="inlineStr">
        <is>
          <t>2026-04-01</t>
        </is>
      </c>
      <c r="B121" t="inlineStr">
        <is>
          <t>Staples</t>
        </is>
      </c>
      <c r="C121" t="inlineStr">
        <is>
          <t>Staples_Sugar_1kg</t>
        </is>
      </c>
      <c r="D121" t="n">
        <v>6.25</v>
      </c>
      <c r="E121" t="n">
        <v>1000</v>
      </c>
      <c r="F121" t="n">
        <v>6</v>
      </c>
      <c r="G121" t="inlineStr">
        <is>
          <t>Scraped</t>
        </is>
      </c>
      <c r="H121">
        <f>XLOOKUP(C121, $C$2:$C$21, $F$2:$F$21)</f>
        <v/>
      </c>
      <c r="I121">
        <f>(F121/H121)*100</f>
        <v/>
      </c>
    </row>
    <row r="122">
      <c r="A122" t="inlineStr">
        <is>
          <t>2026-04-02</t>
        </is>
      </c>
      <c r="B122" t="inlineStr">
        <is>
          <t>Dairy</t>
        </is>
      </c>
      <c r="C122" t="inlineStr">
        <is>
          <t>Dairy_TonedMilk_1L</t>
        </is>
      </c>
      <c r="D122" t="n">
        <v>5</v>
      </c>
      <c r="E122" t="n">
        <v>1000</v>
      </c>
      <c r="F122" t="n">
        <v>7.5</v>
      </c>
      <c r="G122" t="inlineStr">
        <is>
          <t>Scraped</t>
        </is>
      </c>
      <c r="H122">
        <f>XLOOKUP(C122, $C$2:$C$21, $F$2:$F$21)</f>
        <v/>
      </c>
      <c r="I122">
        <f>(F122/H122)*100</f>
        <v/>
      </c>
    </row>
    <row r="123">
      <c r="A123" t="inlineStr">
        <is>
          <t>2026-04-02</t>
        </is>
      </c>
      <c r="B123" t="inlineStr">
        <is>
          <t>Dairy</t>
        </is>
      </c>
      <c r="C123" t="inlineStr">
        <is>
          <t>Dairy_Butter_500g</t>
        </is>
      </c>
      <c r="D123" t="n">
        <v>5</v>
      </c>
      <c r="E123" t="n">
        <v>500</v>
      </c>
      <c r="F123" t="n">
        <v>57</v>
      </c>
      <c r="G123" t="inlineStr">
        <is>
          <t>Scraped</t>
        </is>
      </c>
      <c r="H123">
        <f>XLOOKUP(C123, $C$2:$C$21, $F$2:$F$21)</f>
        <v/>
      </c>
      <c r="I123">
        <f>(F123/H123)*100</f>
        <v/>
      </c>
    </row>
    <row r="124">
      <c r="A124" t="inlineStr">
        <is>
          <t>2026-04-02</t>
        </is>
      </c>
      <c r="B124" t="inlineStr">
        <is>
          <t>Dairy</t>
        </is>
      </c>
      <c r="C124" t="inlineStr">
        <is>
          <t>Dairy_Eggs_6pk</t>
        </is>
      </c>
      <c r="D124" t="n">
        <v>5</v>
      </c>
      <c r="E124" t="n">
        <v>6</v>
      </c>
      <c r="F124" t="n">
        <v>12</v>
      </c>
      <c r="G124" t="inlineStr">
        <is>
          <t>Scraped</t>
        </is>
      </c>
      <c r="H124">
        <f>XLOOKUP(C124, $C$2:$C$21, $F$2:$F$21)</f>
        <v/>
      </c>
      <c r="I124">
        <f>(F124/H124)*100</f>
        <v/>
      </c>
    </row>
    <row r="125">
      <c r="A125" t="inlineStr">
        <is>
          <t>2026-04-02</t>
        </is>
      </c>
      <c r="B125" t="inlineStr">
        <is>
          <t>Dairy</t>
        </is>
      </c>
      <c r="C125" t="inlineStr">
        <is>
          <t>Dairy_Paneer_200g</t>
        </is>
      </c>
      <c r="D125" t="n">
        <v>5</v>
      </c>
      <c r="E125" t="n">
        <v>200</v>
      </c>
      <c r="F125" t="n">
        <v>45</v>
      </c>
      <c r="G125" t="inlineStr">
        <is>
          <t>Scraped</t>
        </is>
      </c>
      <c r="H125">
        <f>XLOOKUP(C125, $C$2:$C$21, $F$2:$F$21)</f>
        <v/>
      </c>
      <c r="I125">
        <f>(F125/H125)*100</f>
        <v/>
      </c>
    </row>
    <row r="126">
      <c r="A126" t="inlineStr">
        <is>
          <t>2026-04-02</t>
        </is>
      </c>
      <c r="B126" t="inlineStr">
        <is>
          <t>Household</t>
        </is>
      </c>
      <c r="C126" t="inlineStr">
        <is>
          <t>Household_Soap_5x125g</t>
        </is>
      </c>
      <c r="D126" t="n">
        <v>3.33</v>
      </c>
      <c r="E126" t="n">
        <v>625</v>
      </c>
      <c r="F126" t="n">
        <v>54.4</v>
      </c>
      <c r="G126" t="inlineStr">
        <is>
          <t>Scraped</t>
        </is>
      </c>
      <c r="H126">
        <f>XLOOKUP(C126, $C$2:$C$21, $F$2:$F$21)</f>
        <v/>
      </c>
      <c r="I126">
        <f>(F126/H126)*100</f>
        <v/>
      </c>
    </row>
    <row r="127">
      <c r="A127" t="inlineStr">
        <is>
          <t>2026-04-02</t>
        </is>
      </c>
      <c r="B127" t="inlineStr">
        <is>
          <t>Household</t>
        </is>
      </c>
      <c r="C127" t="inlineStr">
        <is>
          <t>Household_Toothpaste_150g</t>
        </is>
      </c>
      <c r="D127" t="n">
        <v>3.33</v>
      </c>
      <c r="E127" t="n">
        <v>150</v>
      </c>
      <c r="F127" t="n">
        <v>86.67</v>
      </c>
      <c r="G127" t="inlineStr">
        <is>
          <t>Scraped</t>
        </is>
      </c>
      <c r="H127">
        <f>XLOOKUP(C127, $C$2:$C$21, $F$2:$F$21)</f>
        <v/>
      </c>
      <c r="I127">
        <f>(F127/H127)*100</f>
        <v/>
      </c>
    </row>
    <row r="128">
      <c r="A128" t="inlineStr">
        <is>
          <t>2026-04-02</t>
        </is>
      </c>
      <c r="B128" t="inlineStr">
        <is>
          <t>Household</t>
        </is>
      </c>
      <c r="C128" t="inlineStr">
        <is>
          <t>Household_SurfExcel_1kg</t>
        </is>
      </c>
      <c r="D128" t="n">
        <v>3.34</v>
      </c>
      <c r="E128" t="n">
        <v>1000</v>
      </c>
      <c r="F128" t="n">
        <v>13.8</v>
      </c>
      <c r="G128" t="inlineStr">
        <is>
          <t>Scraped</t>
        </is>
      </c>
      <c r="H128">
        <f>XLOOKUP(C128, $C$2:$C$21, $F$2:$F$21)</f>
        <v/>
      </c>
      <c r="I128">
        <f>(F128/H128)*100</f>
        <v/>
      </c>
    </row>
    <row r="129">
      <c r="A129" t="inlineStr">
        <is>
          <t>2026-04-02</t>
        </is>
      </c>
      <c r="B129" t="inlineStr">
        <is>
          <t>Oils</t>
        </is>
      </c>
      <c r="C129" t="inlineStr">
        <is>
          <t>Oils_Sunflower_840g</t>
        </is>
      </c>
      <c r="D129" t="n">
        <v>7.5</v>
      </c>
      <c r="E129" t="n">
        <v>840</v>
      </c>
      <c r="F129" t="n">
        <v>18.8</v>
      </c>
      <c r="G129" t="inlineStr">
        <is>
          <t>Scraped</t>
        </is>
      </c>
      <c r="H129">
        <f>XLOOKUP(C129, $C$2:$C$21, $F$2:$F$21)</f>
        <v/>
      </c>
      <c r="I129">
        <f>(F129/H129)*100</f>
        <v/>
      </c>
    </row>
    <row r="130">
      <c r="A130" t="inlineStr">
        <is>
          <t>2026-04-02</t>
        </is>
      </c>
      <c r="B130" t="inlineStr">
        <is>
          <t>Oils</t>
        </is>
      </c>
      <c r="C130" t="inlineStr">
        <is>
          <t>Oils_Mustard_1L</t>
        </is>
      </c>
      <c r="D130" t="n">
        <v>7.5</v>
      </c>
      <c r="E130" t="n">
        <v>1000</v>
      </c>
      <c r="F130" t="n">
        <v>17</v>
      </c>
      <c r="G130" t="inlineStr">
        <is>
          <t>Scraped</t>
        </is>
      </c>
      <c r="H130">
        <f>XLOOKUP(C130, $C$2:$C$21, $F$2:$F$21)</f>
        <v/>
      </c>
      <c r="I130">
        <f>(F130/H130)*100</f>
        <v/>
      </c>
    </row>
    <row r="131">
      <c r="A131" t="inlineStr">
        <is>
          <t>2026-04-02</t>
        </is>
      </c>
      <c r="B131" t="inlineStr">
        <is>
          <t>Produce</t>
        </is>
      </c>
      <c r="C131" t="inlineStr">
        <is>
          <t>Produce_Onion_1kg</t>
        </is>
      </c>
      <c r="D131" t="n">
        <v>5</v>
      </c>
      <c r="E131" t="n">
        <v>1000</v>
      </c>
      <c r="F131" t="n">
        <v>4.6</v>
      </c>
      <c r="G131" t="inlineStr">
        <is>
          <t>Scraped</t>
        </is>
      </c>
      <c r="H131">
        <f>XLOOKUP(C131, $C$2:$C$21, $F$2:$F$21)</f>
        <v/>
      </c>
      <c r="I131">
        <f>(F131/H131)*100</f>
        <v/>
      </c>
    </row>
    <row r="132">
      <c r="A132" t="inlineStr">
        <is>
          <t>2026-04-02</t>
        </is>
      </c>
      <c r="B132" t="inlineStr">
        <is>
          <t>Produce</t>
        </is>
      </c>
      <c r="C132" t="inlineStr">
        <is>
          <t>Produce_Potato_1kg</t>
        </is>
      </c>
      <c r="D132" t="n">
        <v>5</v>
      </c>
      <c r="E132" t="n">
        <v>1000</v>
      </c>
      <c r="F132" t="n">
        <v>3.9</v>
      </c>
      <c r="G132" t="inlineStr">
        <is>
          <t>Scraped</t>
        </is>
      </c>
      <c r="H132">
        <f>XLOOKUP(C132, $C$2:$C$21, $F$2:$F$21)</f>
        <v/>
      </c>
      <c r="I132">
        <f>(F132/H132)*100</f>
        <v/>
      </c>
    </row>
    <row r="133">
      <c r="A133" t="inlineStr">
        <is>
          <t>2026-04-02</t>
        </is>
      </c>
      <c r="B133" t="inlineStr">
        <is>
          <t>Produce</t>
        </is>
      </c>
      <c r="C133" t="inlineStr">
        <is>
          <t>Produce_Tomato_1kg</t>
        </is>
      </c>
      <c r="D133" t="n">
        <v>5</v>
      </c>
      <c r="E133" t="n">
        <v>1000</v>
      </c>
      <c r="F133" t="n">
        <v>5.6</v>
      </c>
      <c r="G133" t="inlineStr">
        <is>
          <t>Scraped</t>
        </is>
      </c>
      <c r="H133">
        <f>XLOOKUP(C133, $C$2:$C$21, $F$2:$F$21)</f>
        <v/>
      </c>
      <c r="I133">
        <f>(F133/H133)*100</f>
        <v/>
      </c>
    </row>
    <row r="134">
      <c r="A134" t="inlineStr">
        <is>
          <t>2026-04-02</t>
        </is>
      </c>
      <c r="B134" t="inlineStr">
        <is>
          <t>Produce</t>
        </is>
      </c>
      <c r="C134" t="inlineStr">
        <is>
          <t>Produce_Banana_6pcs</t>
        </is>
      </c>
      <c r="D134" t="n">
        <v>5</v>
      </c>
      <c r="E134" t="n">
        <v>6</v>
      </c>
      <c r="F134" t="n">
        <v>8.5</v>
      </c>
      <c r="G134" t="inlineStr">
        <is>
          <t>Scraped</t>
        </is>
      </c>
      <c r="H134">
        <f>XLOOKUP(C134, $C$2:$C$21, $F$2:$F$21)</f>
        <v/>
      </c>
      <c r="I134">
        <f>(F134/H134)*100</f>
        <v/>
      </c>
    </row>
    <row r="135">
      <c r="A135" t="inlineStr">
        <is>
          <t>2026-04-02</t>
        </is>
      </c>
      <c r="B135" t="inlineStr">
        <is>
          <t>Snacks</t>
        </is>
      </c>
      <c r="C135" t="inlineStr">
        <is>
          <t>Snacks_Tea_250g</t>
        </is>
      </c>
      <c r="D135" t="n">
        <v>3.33</v>
      </c>
      <c r="E135" t="n">
        <v>250</v>
      </c>
      <c r="F135" t="n">
        <v>45.6</v>
      </c>
      <c r="G135" t="inlineStr">
        <is>
          <t>Scraped</t>
        </is>
      </c>
      <c r="H135">
        <f>XLOOKUP(C135, $C$2:$C$21, $F$2:$F$21)</f>
        <v/>
      </c>
      <c r="I135">
        <f>(F135/H135)*100</f>
        <v/>
      </c>
    </row>
    <row r="136">
      <c r="A136" t="inlineStr">
        <is>
          <t>2026-04-02</t>
        </is>
      </c>
      <c r="B136" t="inlineStr">
        <is>
          <t>Snacks</t>
        </is>
      </c>
      <c r="C136" t="inlineStr">
        <is>
          <t>Snacks_Coffee_50g</t>
        </is>
      </c>
      <c r="D136" t="n">
        <v>3.33</v>
      </c>
      <c r="E136" t="n">
        <v>50</v>
      </c>
      <c r="F136" t="n">
        <v>446</v>
      </c>
      <c r="G136" t="inlineStr">
        <is>
          <t>Scraped</t>
        </is>
      </c>
      <c r="H136">
        <f>XLOOKUP(C136, $C$2:$C$21, $F$2:$F$21)</f>
        <v/>
      </c>
      <c r="I136">
        <f>(F136/H136)*100</f>
        <v/>
      </c>
    </row>
    <row r="137">
      <c r="A137" t="inlineStr">
        <is>
          <t>2026-04-02</t>
        </is>
      </c>
      <c r="B137" t="inlineStr">
        <is>
          <t>Snacks</t>
        </is>
      </c>
      <c r="C137" t="inlineStr">
        <is>
          <t>Snacks_ParleG_250g</t>
        </is>
      </c>
      <c r="D137" t="n">
        <v>3.34</v>
      </c>
      <c r="E137" t="n">
        <v>250</v>
      </c>
      <c r="F137" t="n">
        <v>10.8</v>
      </c>
      <c r="G137" t="inlineStr">
        <is>
          <t>Scraped</t>
        </is>
      </c>
      <c r="H137">
        <f>XLOOKUP(C137, $C$2:$C$21, $F$2:$F$21)</f>
        <v/>
      </c>
      <c r="I137">
        <f>(F137/H137)*100</f>
        <v/>
      </c>
    </row>
    <row r="138">
      <c r="A138" t="inlineStr">
        <is>
          <t>2026-04-02</t>
        </is>
      </c>
      <c r="B138" t="inlineStr">
        <is>
          <t>Staples</t>
        </is>
      </c>
      <c r="C138" t="inlineStr">
        <is>
          <t>Staples_Atta_5kg</t>
        </is>
      </c>
      <c r="D138" t="n">
        <v>6.25</v>
      </c>
      <c r="E138" t="n">
        <v>5000</v>
      </c>
      <c r="F138" t="n">
        <v>6.15</v>
      </c>
      <c r="G138" t="inlineStr">
        <is>
          <t>Scraped</t>
        </is>
      </c>
      <c r="H138">
        <f>XLOOKUP(C138, $C$2:$C$21, $F$2:$F$21)</f>
        <v/>
      </c>
      <c r="I138">
        <f>(F138/H138)*100</f>
        <v/>
      </c>
    </row>
    <row r="139">
      <c r="A139" t="inlineStr">
        <is>
          <t>2026-04-02</t>
        </is>
      </c>
      <c r="B139" t="inlineStr">
        <is>
          <t>Staples</t>
        </is>
      </c>
      <c r="C139" t="inlineStr">
        <is>
          <t>Staples_Basmati_1kg</t>
        </is>
      </c>
      <c r="D139" t="n">
        <v>6.25</v>
      </c>
      <c r="E139" t="n">
        <v>1000</v>
      </c>
      <c r="F139" t="n">
        <v>9.5</v>
      </c>
      <c r="G139" t="inlineStr">
        <is>
          <t>Scraped</t>
        </is>
      </c>
      <c r="H139">
        <f>XLOOKUP(C139, $C$2:$C$21, $F$2:$F$21)</f>
        <v/>
      </c>
      <c r="I139">
        <f>(F139/H139)*100</f>
        <v/>
      </c>
    </row>
    <row r="140">
      <c r="A140" t="inlineStr">
        <is>
          <t>2026-04-02</t>
        </is>
      </c>
      <c r="B140" t="inlineStr">
        <is>
          <t>Staples</t>
        </is>
      </c>
      <c r="C140" t="inlineStr">
        <is>
          <t>Staples_ToorDal_500g</t>
        </is>
      </c>
      <c r="D140" t="n">
        <v>6.25</v>
      </c>
      <c r="E140" t="n">
        <v>500</v>
      </c>
      <c r="F140" t="n">
        <v>17.5</v>
      </c>
      <c r="G140" t="inlineStr">
        <is>
          <t>Scraped</t>
        </is>
      </c>
      <c r="H140">
        <f>XLOOKUP(C140, $C$2:$C$21, $F$2:$F$21)</f>
        <v/>
      </c>
      <c r="I140">
        <f>(F140/H140)*100</f>
        <v/>
      </c>
    </row>
    <row r="141">
      <c r="A141" t="inlineStr">
        <is>
          <t>2026-04-02</t>
        </is>
      </c>
      <c r="B141" t="inlineStr">
        <is>
          <t>Staples</t>
        </is>
      </c>
      <c r="C141" t="inlineStr">
        <is>
          <t>Staples_Sugar_1kg</t>
        </is>
      </c>
      <c r="D141" t="n">
        <v>6.25</v>
      </c>
      <c r="E141" t="n">
        <v>1000</v>
      </c>
      <c r="F141" t="n">
        <v>6</v>
      </c>
      <c r="G141" t="inlineStr">
        <is>
          <t>Scraped</t>
        </is>
      </c>
      <c r="H141">
        <f>XLOOKUP(C141, $C$2:$C$21, $F$2:$F$21)</f>
        <v/>
      </c>
      <c r="I141">
        <f>(F141/H141)*100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t="inlineStr">
        <is>
          <t>Date</t>
        </is>
      </c>
      <c r="B1" t="inlineStr">
        <is>
          <t>Staples</t>
        </is>
      </c>
      <c r="C1" t="inlineStr">
        <is>
          <t>Dairy</t>
        </is>
      </c>
      <c r="D1" t="inlineStr">
        <is>
          <t>Produce</t>
        </is>
      </c>
      <c r="E1" t="inlineStr">
        <is>
          <t>Oils</t>
        </is>
      </c>
      <c r="F1" t="inlineStr">
        <is>
          <t>Household</t>
        </is>
      </c>
      <c r="G1" t="inlineStr">
        <is>
          <t>Snacks</t>
        </is>
      </c>
      <c r="H1" t="inlineStr">
        <is>
          <t>Overall CPI</t>
        </is>
      </c>
    </row>
    <row r="2">
      <c r="A2" t="inlineStr">
        <is>
          <t>2026-03-27</t>
        </is>
      </c>
      <c r="B2">
        <f>AVERAGEIFS('Raw Daily Price Data'!$I:$I, 'Raw Daily Price Data'!$A:$A, $A2, 'Raw Daily Price Data'!$B:$B, B$1)</f>
        <v/>
      </c>
      <c r="C2">
        <f>AVERAGEIFS('Raw Daily Price Data'!$I:$I, 'Raw Daily Price Data'!$A:$A, $A2, 'Raw Daily Price Data'!$B:$B, C$1)</f>
        <v/>
      </c>
      <c r="D2">
        <f>AVERAGEIFS('Raw Daily Price Data'!$I:$I, 'Raw Daily Price Data'!$A:$A, $A2, 'Raw Daily Price Data'!$B:$B, D$1)</f>
        <v/>
      </c>
      <c r="E2">
        <f>AVERAGEIFS('Raw Daily Price Data'!$I:$I, 'Raw Daily Price Data'!$A:$A, $A2, 'Raw Daily Price Data'!$B:$B, E$1)</f>
        <v/>
      </c>
      <c r="F2">
        <f>AVERAGEIFS('Raw Daily Price Data'!$I:$I, 'Raw Daily Price Data'!$A:$A, $A2, 'Raw Daily Price Data'!$B:$B, F$1)</f>
        <v/>
      </c>
      <c r="G2">
        <f>AVERAGEIFS('Raw Daily Price Data'!$I:$I, 'Raw Daily Price Data'!$A:$A, $A2, 'Raw Daily Price Data'!$B:$B, G$1)</f>
        <v/>
      </c>
      <c r="H2">
        <f>((B2*0.25) + (C2*0.2) + (D2*0.2) + (E2*0.15) + (F2*0.1) + (G2*0.1)) / (IF(B2&gt;0, 0.25, 0) + IF(C2&gt;0, 0.2, 0) + IF(D2&gt;0, 0.2, 0) + IF(E2&gt;0, 0.15, 0) + IF(F2&gt;0, 0.1, 0) + IF(G2&gt;0, 0.1, 0))</f>
        <v/>
      </c>
    </row>
    <row r="3">
      <c r="A3" t="inlineStr">
        <is>
          <t>2026-03-28</t>
        </is>
      </c>
      <c r="B3">
        <f>AVERAGEIFS('Raw Daily Price Data'!$I:$I, 'Raw Daily Price Data'!$A:$A, $A3, 'Raw Daily Price Data'!$B:$B, B$1)</f>
        <v/>
      </c>
      <c r="C3">
        <f>AVERAGEIFS('Raw Daily Price Data'!$I:$I, 'Raw Daily Price Data'!$A:$A, $A3, 'Raw Daily Price Data'!$B:$B, C$1)</f>
        <v/>
      </c>
      <c r="D3">
        <f>AVERAGEIFS('Raw Daily Price Data'!$I:$I, 'Raw Daily Price Data'!$A:$A, $A3, 'Raw Daily Price Data'!$B:$B, D$1)</f>
        <v/>
      </c>
      <c r="E3">
        <f>AVERAGEIFS('Raw Daily Price Data'!$I:$I, 'Raw Daily Price Data'!$A:$A, $A3, 'Raw Daily Price Data'!$B:$B, E$1)</f>
        <v/>
      </c>
      <c r="F3">
        <f>AVERAGEIFS('Raw Daily Price Data'!$I:$I, 'Raw Daily Price Data'!$A:$A, $A3, 'Raw Daily Price Data'!$B:$B, F$1)</f>
        <v/>
      </c>
      <c r="G3">
        <f>AVERAGEIFS('Raw Daily Price Data'!$I:$I, 'Raw Daily Price Data'!$A:$A, $A3, 'Raw Daily Price Data'!$B:$B, G$1)</f>
        <v/>
      </c>
      <c r="H3">
        <f>((B3*0.25) + (C3*0.2) + (D3*0.2) + (E3*0.15) + (F3*0.1) + (G3*0.1)) / (IF(B3&gt;0, 0.25, 0) + IF(C3&gt;0, 0.2, 0) + IF(D3&gt;0, 0.2, 0) + IF(E3&gt;0, 0.15, 0) + IF(F3&gt;0, 0.1, 0) + IF(G3&gt;0, 0.1, 0))</f>
        <v/>
      </c>
    </row>
    <row r="4">
      <c r="A4" t="inlineStr">
        <is>
          <t>2026-03-29</t>
        </is>
      </c>
      <c r="B4">
        <f>AVERAGEIFS('Raw Daily Price Data'!$I:$I, 'Raw Daily Price Data'!$A:$A, $A4, 'Raw Daily Price Data'!$B:$B, B$1)</f>
        <v/>
      </c>
      <c r="C4">
        <f>AVERAGEIFS('Raw Daily Price Data'!$I:$I, 'Raw Daily Price Data'!$A:$A, $A4, 'Raw Daily Price Data'!$B:$B, C$1)</f>
        <v/>
      </c>
      <c r="D4">
        <f>AVERAGEIFS('Raw Daily Price Data'!$I:$I, 'Raw Daily Price Data'!$A:$A, $A4, 'Raw Daily Price Data'!$B:$B, D$1)</f>
        <v/>
      </c>
      <c r="E4">
        <f>AVERAGEIFS('Raw Daily Price Data'!$I:$I, 'Raw Daily Price Data'!$A:$A, $A4, 'Raw Daily Price Data'!$B:$B, E$1)</f>
        <v/>
      </c>
      <c r="F4">
        <f>AVERAGEIFS('Raw Daily Price Data'!$I:$I, 'Raw Daily Price Data'!$A:$A, $A4, 'Raw Daily Price Data'!$B:$B, F$1)</f>
        <v/>
      </c>
      <c r="G4">
        <f>AVERAGEIFS('Raw Daily Price Data'!$I:$I, 'Raw Daily Price Data'!$A:$A, $A4, 'Raw Daily Price Data'!$B:$B, G$1)</f>
        <v/>
      </c>
      <c r="H4">
        <f>((B4*0.25) + (C4*0.2) + (D4*0.2) + (E4*0.15) + (F4*0.1) + (G4*0.1)) / (IF(B4&gt;0, 0.25, 0) + IF(C4&gt;0, 0.2, 0) + IF(D4&gt;0, 0.2, 0) + IF(E4&gt;0, 0.15, 0) + IF(F4&gt;0, 0.1, 0) + IF(G4&gt;0, 0.1, 0))</f>
        <v/>
      </c>
    </row>
    <row r="5">
      <c r="A5" t="inlineStr">
        <is>
          <t>2026-03-30</t>
        </is>
      </c>
      <c r="B5">
        <f>AVERAGEIFS('Raw Daily Price Data'!$I:$I, 'Raw Daily Price Data'!$A:$A, $A5, 'Raw Daily Price Data'!$B:$B, B$1)</f>
        <v/>
      </c>
      <c r="C5">
        <f>AVERAGEIFS('Raw Daily Price Data'!$I:$I, 'Raw Daily Price Data'!$A:$A, $A5, 'Raw Daily Price Data'!$B:$B, C$1)</f>
        <v/>
      </c>
      <c r="D5">
        <f>AVERAGEIFS('Raw Daily Price Data'!$I:$I, 'Raw Daily Price Data'!$A:$A, $A5, 'Raw Daily Price Data'!$B:$B, D$1)</f>
        <v/>
      </c>
      <c r="E5">
        <f>AVERAGEIFS('Raw Daily Price Data'!$I:$I, 'Raw Daily Price Data'!$A:$A, $A5, 'Raw Daily Price Data'!$B:$B, E$1)</f>
        <v/>
      </c>
      <c r="F5">
        <f>AVERAGEIFS('Raw Daily Price Data'!$I:$I, 'Raw Daily Price Data'!$A:$A, $A5, 'Raw Daily Price Data'!$B:$B, F$1)</f>
        <v/>
      </c>
      <c r="G5">
        <f>AVERAGEIFS('Raw Daily Price Data'!$I:$I, 'Raw Daily Price Data'!$A:$A, $A5, 'Raw Daily Price Data'!$B:$B, G$1)</f>
        <v/>
      </c>
      <c r="H5">
        <f>((B5*0.25) + (C5*0.2) + (D5*0.2) + (E5*0.15) + (F5*0.1) + (G5*0.1)) / (IF(B5&gt;0, 0.25, 0) + IF(C5&gt;0, 0.2, 0) + IF(D5&gt;0, 0.2, 0) + IF(E5&gt;0, 0.15, 0) + IF(F5&gt;0, 0.1, 0) + IF(G5&gt;0, 0.1, 0))</f>
        <v/>
      </c>
    </row>
    <row r="6">
      <c r="A6" t="inlineStr">
        <is>
          <t>2026-03-31</t>
        </is>
      </c>
      <c r="B6">
        <f>AVERAGEIFS('Raw Daily Price Data'!$I:$I, 'Raw Daily Price Data'!$A:$A, $A6, 'Raw Daily Price Data'!$B:$B, B$1)</f>
        <v/>
      </c>
      <c r="C6">
        <f>AVERAGEIFS('Raw Daily Price Data'!$I:$I, 'Raw Daily Price Data'!$A:$A, $A6, 'Raw Daily Price Data'!$B:$B, C$1)</f>
        <v/>
      </c>
      <c r="D6">
        <f>AVERAGEIFS('Raw Daily Price Data'!$I:$I, 'Raw Daily Price Data'!$A:$A, $A6, 'Raw Daily Price Data'!$B:$B, D$1)</f>
        <v/>
      </c>
      <c r="E6">
        <f>AVERAGEIFS('Raw Daily Price Data'!$I:$I, 'Raw Daily Price Data'!$A:$A, $A6, 'Raw Daily Price Data'!$B:$B, E$1)</f>
        <v/>
      </c>
      <c r="F6">
        <f>AVERAGEIFS('Raw Daily Price Data'!$I:$I, 'Raw Daily Price Data'!$A:$A, $A6, 'Raw Daily Price Data'!$B:$B, F$1)</f>
        <v/>
      </c>
      <c r="G6">
        <f>AVERAGEIFS('Raw Daily Price Data'!$I:$I, 'Raw Daily Price Data'!$A:$A, $A6, 'Raw Daily Price Data'!$B:$B, G$1)</f>
        <v/>
      </c>
      <c r="H6">
        <f>((B6*0.25) + (C6*0.2) + (D6*0.2) + (E6*0.15) + (F6*0.1) + (G6*0.1)) / (IF(B6&gt;0, 0.25, 0) + IF(C6&gt;0, 0.2, 0) + IF(D6&gt;0, 0.2, 0) + IF(E6&gt;0, 0.15, 0) + IF(F6&gt;0, 0.1, 0) + IF(G6&gt;0, 0.1, 0))</f>
        <v/>
      </c>
    </row>
    <row r="7">
      <c r="A7" t="inlineStr">
        <is>
          <t>2026-04-01</t>
        </is>
      </c>
      <c r="B7">
        <f>AVERAGEIFS('Raw Daily Price Data'!$I:$I, 'Raw Daily Price Data'!$A:$A, $A7, 'Raw Daily Price Data'!$B:$B, B$1)</f>
        <v/>
      </c>
      <c r="C7">
        <f>AVERAGEIFS('Raw Daily Price Data'!$I:$I, 'Raw Daily Price Data'!$A:$A, $A7, 'Raw Daily Price Data'!$B:$B, C$1)</f>
        <v/>
      </c>
      <c r="D7">
        <f>AVERAGEIFS('Raw Daily Price Data'!$I:$I, 'Raw Daily Price Data'!$A:$A, $A7, 'Raw Daily Price Data'!$B:$B, D$1)</f>
        <v/>
      </c>
      <c r="E7">
        <f>AVERAGEIFS('Raw Daily Price Data'!$I:$I, 'Raw Daily Price Data'!$A:$A, $A7, 'Raw Daily Price Data'!$B:$B, E$1)</f>
        <v/>
      </c>
      <c r="F7">
        <f>AVERAGEIFS('Raw Daily Price Data'!$I:$I, 'Raw Daily Price Data'!$A:$A, $A7, 'Raw Daily Price Data'!$B:$B, F$1)</f>
        <v/>
      </c>
      <c r="G7">
        <f>AVERAGEIFS('Raw Daily Price Data'!$I:$I, 'Raw Daily Price Data'!$A:$A, $A7, 'Raw Daily Price Data'!$B:$B, G$1)</f>
        <v/>
      </c>
      <c r="H7">
        <f>((B7*0.25) + (C7*0.2) + (D7*0.2) + (E7*0.15) + (F7*0.1) + (G7*0.1)) / (IF(B7&gt;0, 0.25, 0) + IF(C7&gt;0, 0.2, 0) + IF(D7&gt;0, 0.2, 0) + IF(E7&gt;0, 0.15, 0) + IF(F7&gt;0, 0.1, 0) + IF(G7&gt;0, 0.1, 0))</f>
        <v/>
      </c>
    </row>
    <row r="8">
      <c r="A8" t="inlineStr">
        <is>
          <t>2026-04-02</t>
        </is>
      </c>
      <c r="B8">
        <f>AVERAGEIFS('Raw Daily Price Data'!$I:$I, 'Raw Daily Price Data'!$A:$A, $A8, 'Raw Daily Price Data'!$B:$B, B$1)</f>
        <v/>
      </c>
      <c r="C8">
        <f>AVERAGEIFS('Raw Daily Price Data'!$I:$I, 'Raw Daily Price Data'!$A:$A, $A8, 'Raw Daily Price Data'!$B:$B, C$1)</f>
        <v/>
      </c>
      <c r="D8">
        <f>AVERAGEIFS('Raw Daily Price Data'!$I:$I, 'Raw Daily Price Data'!$A:$A, $A8, 'Raw Daily Price Data'!$B:$B, D$1)</f>
        <v/>
      </c>
      <c r="E8">
        <f>AVERAGEIFS('Raw Daily Price Data'!$I:$I, 'Raw Daily Price Data'!$A:$A, $A8, 'Raw Daily Price Data'!$B:$B, E$1)</f>
        <v/>
      </c>
      <c r="F8">
        <f>AVERAGEIFS('Raw Daily Price Data'!$I:$I, 'Raw Daily Price Data'!$A:$A, $A8, 'Raw Daily Price Data'!$B:$B, F$1)</f>
        <v/>
      </c>
      <c r="G8">
        <f>AVERAGEIFS('Raw Daily Price Data'!$I:$I, 'Raw Daily Price Data'!$A:$A, $A8, 'Raw Daily Price Data'!$B:$B, G$1)</f>
        <v/>
      </c>
      <c r="H8">
        <f>((B8*0.25) + (C8*0.2) + (D8*0.2) + (E8*0.15) + (F8*0.1) + (G8*0.1)) / (IF(B8&gt;0, 0.25, 0) + IF(C8&gt;0, 0.2, 0) + IF(D8&gt;0, 0.2, 0) + IF(E8&gt;0, 0.15, 0) + IF(F8&gt;0, 0.1, 0) + IF(G8&gt;0, 0.1, 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2026-03-29T16:06:48Z</dcterms:created>
  <dcterms:modified xsi:type="dcterms:W3CDTF">2026-03-29T16:06:48Z</dcterms:modified>
</cp:coreProperties>
</file>